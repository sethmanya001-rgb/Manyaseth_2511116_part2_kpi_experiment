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shav\Downloads\"/>
    </mc:Choice>
  </mc:AlternateContent>
  <xr:revisionPtr revIDLastSave="0" documentId="8_{BBCF1B79-2EB1-4CC2-A101-F85789E0D9C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ivot table" sheetId="4" r:id="rId1"/>
    <sheet name="experiment_data" sheetId="1" r:id="rId2"/>
    <sheet name="business_context" sheetId="2" r:id="rId3"/>
    <sheet name="Data quality checks" sheetId="3" r:id="rId4"/>
  </sheets>
  <calcPr calcId="191029"/>
  <pivotCaches>
    <pivotCache cacheId="4" r:id="rId5"/>
  </pivotCaches>
</workbook>
</file>

<file path=xl/calcChain.xml><?xml version="1.0" encoding="utf-8"?>
<calcChain xmlns="http://schemas.openxmlformats.org/spreadsheetml/2006/main">
  <c r="B43" i="3" l="1"/>
  <c r="B42" i="3"/>
  <c r="B41" i="3"/>
  <c r="B40" i="3"/>
  <c r="B39" i="3"/>
  <c r="B38" i="3"/>
  <c r="B34" i="3"/>
  <c r="B33" i="3"/>
  <c r="B32" i="3"/>
  <c r="B31" i="3"/>
  <c r="B30" i="3"/>
  <c r="B26" i="3"/>
  <c r="B25" i="3"/>
  <c r="B21" i="3"/>
  <c r="B20" i="3"/>
  <c r="B16" i="3"/>
  <c r="B15" i="3"/>
  <c r="B14" i="3"/>
  <c r="B13" i="3"/>
  <c r="B12" i="3"/>
  <c r="B11" i="3"/>
  <c r="B10" i="3"/>
  <c r="B9" i="3"/>
  <c r="B7" i="3"/>
  <c r="B8" i="3"/>
  <c r="B6" i="3"/>
  <c r="B5" i="3"/>
  <c r="B4" i="3"/>
  <c r="B3" i="3"/>
</calcChain>
</file>

<file path=xl/sharedStrings.xml><?xml version="1.0" encoding="utf-8"?>
<sst xmlns="http://schemas.openxmlformats.org/spreadsheetml/2006/main" count="8510" uniqueCount="1492">
  <si>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</si>
  <si>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</si>
  <si>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</si>
  <si>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</si>
  <si>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</si>
  <si>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</si>
  <si>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</si>
  <si>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</si>
  <si>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</si>
  <si>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</si>
  <si>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</si>
  <si>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</si>
  <si>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</si>
  <si>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</si>
  <si>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</si>
  <si>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</si>
  <si>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</si>
  <si>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</si>
  <si>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</si>
  <si>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</si>
  <si>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</si>
  <si>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</si>
  <si>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</si>
  <si>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</si>
  <si>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</si>
  <si>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</si>
  <si>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</si>
  <si>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</si>
  <si>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</si>
  <si>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</si>
  <si>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</si>
  <si>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</si>
  <si>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</si>
  <si>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</si>
  <si>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</si>
  <si>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</si>
  <si>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</si>
  <si>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</si>
  <si>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</si>
  <si>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</si>
  <si>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</si>
  <si>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</si>
  <si>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</si>
  <si>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</si>
  <si>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</si>
  <si>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</si>
  <si>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</si>
  <si>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</si>
  <si>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</si>
  <si>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</si>
  <si>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</si>
  <si>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</si>
  <si>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</si>
  <si>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</si>
  <si>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</si>
  <si>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</si>
  <si>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</si>
  <si>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</si>
  <si>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</si>
  <si>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</si>
  <si>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</si>
  <si>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</si>
  <si>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</si>
  <si>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</si>
  <si>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</si>
  <si>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</si>
  <si>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</si>
  <si>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</si>
  <si>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</si>
  <si>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</si>
  <si>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</si>
  <si>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</si>
  <si>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</si>
  <si>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</si>
  <si>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</si>
  <si>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</si>
  <si>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</si>
  <si>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</si>
  <si>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</si>
  <si>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</si>
  <si>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</si>
  <si>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</si>
  <si>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</si>
  <si>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</si>
  <si>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</si>
  <si>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</si>
  <si>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</si>
  <si>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</si>
  <si>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</si>
  <si>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</si>
  <si>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</si>
  <si>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</si>
  <si>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</si>
  <si>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</si>
  <si>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</si>
  <si>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</si>
  <si>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</si>
  <si>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</si>
  <si>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</si>
  <si>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</si>
  <si>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</si>
  <si>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</si>
  <si>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</si>
  <si>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</si>
  <si>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</si>
  <si>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</si>
  <si>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</si>
  <si>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</si>
  <si>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</si>
  <si>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</si>
  <si>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</si>
  <si>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</si>
  <si>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</si>
  <si>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</si>
  <si>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</si>
  <si>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</si>
  <si>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</si>
  <si>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</si>
  <si>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</si>
  <si>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</si>
  <si>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</si>
  <si>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</si>
  <si>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</si>
  <si>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</si>
  <si>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</si>
  <si>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</si>
  <si>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</si>
  <si>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</si>
  <si>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</si>
  <si>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</si>
  <si>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</si>
  <si>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</si>
  <si>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</si>
  <si>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</si>
  <si>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</si>
  <si>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</si>
  <si>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</si>
  <si>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</si>
  <si>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</si>
  <si>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</si>
  <si>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</si>
  <si>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</si>
  <si>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</si>
  <si>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</si>
  <si>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</si>
  <si>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</si>
  <si>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</si>
  <si>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</si>
  <si>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</si>
  <si>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</si>
  <si>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</si>
  <si>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</si>
  <si>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</si>
  <si>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</si>
  <si>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</si>
  <si>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</si>
  <si>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</si>
  <si>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</si>
  <si>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</si>
  <si>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</si>
  <si>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</si>
  <si>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</si>
  <si>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</si>
  <si>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</si>
  <si>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</si>
  <si>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</si>
  <si>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</si>
  <si>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</si>
  <si>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</si>
  <si>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</si>
  <si>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</si>
  <si>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</si>
  <si>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</si>
  <si>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</si>
  <si>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</si>
  <si>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</si>
  <si>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</si>
  <si>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</si>
  <si>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</si>
  <si>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</si>
  <si>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</si>
  <si>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</si>
  <si>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</si>
  <si>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</si>
  <si>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</si>
  <si>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</si>
  <si>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</si>
  <si>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</si>
  <si>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</si>
  <si>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</si>
  <si>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</si>
  <si>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</si>
  <si>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</si>
  <si>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</si>
  <si>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</si>
  <si>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</si>
  <si>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</si>
  <si>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</si>
  <si>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</si>
  <si>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</si>
  <si>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</si>
  <si>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</si>
  <si>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</si>
  <si>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</si>
  <si>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</si>
  <si>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</si>
  <si>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</si>
  <si>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</si>
  <si>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</si>
  <si>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</si>
  <si>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</si>
  <si>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</si>
  <si>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</si>
  <si>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</si>
  <si>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</si>
  <si>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</si>
  <si>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</si>
  <si>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</si>
  <si>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</si>
  <si>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</si>
  <si>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</si>
  <si>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</si>
  <si>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</si>
  <si>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</si>
  <si>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</si>
  <si>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</si>
  <si>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</si>
  <si>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</si>
  <si>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</si>
  <si>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</si>
  <si>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</si>
  <si>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</si>
  <si>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</si>
  <si>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</si>
  <si>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</si>
  <si>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</si>
  <si>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</si>
  <si>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</si>
  <si>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</si>
  <si>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</si>
  <si>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</si>
  <si>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</si>
  <si>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</si>
  <si>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</si>
  <si>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</si>
  <si>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</si>
  <si>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</si>
  <si>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</si>
  <si>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</si>
  <si>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</si>
  <si>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</si>
  <si>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</si>
  <si>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</si>
  <si>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</si>
  <si>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</si>
  <si>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</si>
  <si>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</si>
  <si>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</si>
  <si>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</si>
  <si>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</si>
  <si>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</si>
  <si>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</si>
  <si>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</si>
  <si>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</si>
  <si>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</si>
  <si>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</si>
  <si>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</si>
  <si>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</si>
  <si>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</si>
  <si>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</si>
  <si>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</si>
  <si>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</si>
  <si>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</si>
  <si>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</si>
  <si>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</si>
  <si>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</si>
  <si>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</si>
  <si>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</si>
  <si>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</si>
  <si>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</si>
  <si>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</si>
  <si>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</si>
  <si>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</si>
  <si>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</si>
  <si>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</si>
  <si>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</si>
  <si>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</si>
  <si>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</si>
  <si>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</si>
  <si>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</si>
  <si>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</si>
  <si>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</si>
  <si>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</si>
  <si>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</si>
  <si>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</si>
  <si>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</si>
  <si>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</si>
  <si>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</si>
  <si>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</si>
  <si>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</si>
  <si>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</si>
  <si>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</si>
  <si>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</si>
  <si>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</si>
  <si>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</si>
  <si>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</si>
  <si>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</si>
  <si>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</si>
  <si>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</si>
  <si>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</si>
  <si>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</si>
  <si>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</si>
  <si>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</si>
  <si>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</si>
  <si>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</si>
  <si>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</si>
  <si>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</si>
  <si>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</si>
  <si>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</si>
  <si>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</si>
  <si>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</si>
  <si>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</si>
  <si>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</si>
  <si>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</si>
  <si>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</si>
  <si>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</si>
  <si>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</si>
  <si>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</si>
  <si>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</si>
  <si>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</si>
  <si>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</si>
  <si>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</si>
  <si>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</si>
  <si>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</si>
  <si>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</si>
  <si>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</si>
  <si>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</si>
  <si>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</si>
  <si>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</si>
  <si>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</si>
  <si>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</si>
  <si>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</si>
  <si>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</si>
  <si>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</si>
  <si>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</si>
  <si>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</si>
  <si>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</si>
  <si>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</si>
  <si>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</si>
  <si>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</si>
  <si>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</si>
  <si>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</si>
  <si>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</si>
  <si>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</si>
  <si>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</si>
  <si>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</si>
  <si>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</si>
  <si>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</si>
  <si>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</si>
  <si>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</si>
  <si>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</si>
  <si>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</si>
  <si>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</si>
  <si>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</si>
  <si>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</si>
  <si>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</si>
  <si>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</si>
  <si>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</si>
  <si>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</si>
  <si>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</si>
  <si>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</si>
  <si>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</si>
  <si>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</si>
  <si>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</si>
  <si>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</si>
  <si>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</si>
  <si>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</si>
  <si>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</si>
  <si>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</si>
  <si>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</si>
  <si>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</si>
  <si>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</si>
  <si>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</si>
  <si>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</si>
  <si>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</si>
  <si>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</si>
  <si>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</si>
  <si>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</si>
  <si>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</si>
  <si>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</si>
  <si>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</si>
  <si>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</si>
  <si>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</si>
  <si>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</si>
  <si>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</si>
  <si>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</si>
  <si>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</si>
  <si>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</si>
  <si>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</si>
  <si>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</si>
  <si>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</si>
  <si>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</si>
  <si>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</si>
  <si>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</si>
  <si>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</si>
  <si>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</si>
  <si>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</si>
  <si>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</si>
  <si>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</si>
  <si>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</si>
  <si>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</si>
  <si>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</si>
  <si>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</si>
  <si>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</si>
  <si>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</si>
  <si>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</si>
  <si>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</si>
  <si>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</si>
  <si>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</si>
  <si>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</si>
  <si>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</si>
  <si>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</si>
  <si>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</si>
  <si>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</si>
  <si>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</si>
  <si>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</si>
  <si>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</si>
  <si>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</si>
  <si>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</si>
  <si>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</si>
  <si>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</si>
  <si>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</si>
  <si>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</si>
  <si>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</si>
  <si>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</si>
  <si>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</si>
  <si>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</si>
  <si>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</si>
  <si>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</si>
  <si>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</si>
  <si>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</si>
  <si>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</si>
  <si>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</si>
  <si>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</si>
  <si>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</si>
  <si>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</si>
  <si>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</si>
  <si>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</si>
  <si>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</si>
  <si>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</si>
  <si>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</si>
  <si>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</si>
  <si>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</si>
  <si>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</si>
  <si>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</si>
  <si>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</si>
  <si>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</si>
  <si>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</si>
  <si>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</si>
  <si>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</si>
  <si>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</si>
  <si>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</si>
  <si>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</si>
  <si>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</si>
  <si>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</si>
  <si>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</si>
  <si>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</si>
  <si>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</si>
  <si>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</si>
  <si>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</si>
  <si>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</si>
  <si>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</si>
  <si>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</si>
  <si>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</si>
  <si>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</si>
  <si>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</si>
  <si>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</si>
  <si>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</si>
  <si>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</si>
  <si>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</si>
  <si>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</si>
  <si>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</si>
  <si>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</si>
  <si>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</si>
  <si>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</si>
  <si>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</si>
  <si>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</si>
  <si>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</si>
  <si>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</si>
  <si>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</si>
  <si>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</si>
  <si>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</si>
  <si>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</si>
  <si>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</si>
  <si>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</si>
  <si>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</si>
  <si>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</si>
  <si>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</si>
  <si>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</si>
  <si>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</si>
  <si>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</si>
  <si>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</si>
  <si>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</si>
  <si>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</si>
  <si>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</si>
  <si>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</si>
  <si>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</si>
  <si>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</si>
  <si>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</si>
  <si>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</si>
  <si>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</si>
  <si>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</si>
  <si>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</si>
  <si>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</si>
  <si>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</si>
  <si>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</si>
  <si>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</si>
  <si>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</si>
  <si>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</si>
  <si>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</si>
  <si>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</si>
  <si>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</si>
  <si>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</si>
  <si>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</si>
  <si>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</si>
  <si>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</si>
  <si>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</si>
  <si>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</si>
  <si>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</si>
  <si>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</si>
  <si>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</si>
  <si>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</si>
  <si>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</si>
  <si>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</si>
  <si>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</si>
  <si>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</si>
  <si>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</si>
  <si>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</si>
  <si>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</si>
  <si>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</si>
  <si>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</si>
  <si>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</si>
  <si>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</si>
  <si>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</si>
  <si>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</si>
  <si>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</si>
  <si>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</si>
  <si>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</si>
  <si>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</si>
  <si>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</si>
  <si>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</si>
  <si>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</si>
  <si>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</si>
  <si>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</si>
  <si>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</si>
  <si>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</si>
  <si>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</si>
  <si>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</si>
  <si>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</si>
  <si>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</si>
  <si>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</si>
  <si>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</si>
  <si>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</si>
  <si>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</si>
  <si>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</si>
  <si>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</si>
  <si>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</si>
  <si>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</si>
  <si>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</si>
  <si>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</si>
  <si>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</si>
  <si>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</si>
  <si>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</si>
  <si>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</si>
  <si>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</si>
  <si>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</si>
  <si>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</si>
  <si>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</si>
  <si>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</si>
  <si>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</si>
  <si>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</si>
  <si>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</si>
  <si>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</si>
  <si>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</si>
  <si>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</si>
  <si>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</si>
  <si>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</si>
  <si>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</si>
  <si>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</si>
  <si>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</si>
  <si>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</si>
  <si>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</si>
  <si>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</si>
  <si>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</si>
  <si>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</si>
  <si>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</si>
  <si>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</si>
  <si>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</si>
  <si>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</si>
  <si>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</si>
  <si>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</si>
  <si>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</si>
  <si>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</si>
  <si>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</si>
  <si>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</si>
  <si>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</si>
  <si>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</si>
  <si>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</si>
  <si>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</si>
  <si>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</si>
  <si>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</si>
  <si>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</si>
  <si>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</si>
  <si>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</si>
  <si>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</si>
  <si>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</si>
  <si>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</si>
  <si>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</si>
  <si>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</si>
  <si>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</si>
  <si>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</si>
  <si>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</si>
  <si>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</si>
  <si>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</si>
  <si>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</si>
  <si>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</si>
  <si>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</si>
  <si>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</si>
  <si>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</si>
  <si>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</si>
  <si>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</si>
  <si>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</si>
  <si>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</si>
  <si>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</si>
  <si>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</si>
  <si>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</si>
  <si>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</si>
  <si>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</si>
  <si>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</si>
  <si>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</si>
  <si>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</si>
  <si>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</si>
  <si>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</si>
  <si>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</si>
  <si>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</si>
  <si>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</si>
  <si>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</si>
  <si>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</si>
  <si>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</si>
  <si>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</si>
  <si>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</si>
  <si>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</si>
  <si>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</si>
  <si>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</si>
  <si>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</si>
  <si>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</si>
  <si>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</si>
  <si>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</si>
  <si>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</si>
  <si>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</si>
  <si>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</si>
  <si>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</si>
  <si>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</si>
  <si>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</si>
  <si>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</si>
  <si>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</si>
  <si>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</si>
  <si>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</si>
  <si>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</si>
  <si>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</si>
  <si>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</si>
  <si>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</si>
  <si>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</si>
  <si>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</si>
  <si>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</si>
  <si>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</si>
  <si>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</si>
  <si>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</si>
  <si>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</si>
  <si>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</si>
  <si>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</si>
  <si>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</si>
  <si>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</si>
  <si>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</si>
  <si>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</si>
  <si>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</si>
  <si>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</si>
  <si>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</si>
  <si>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</si>
  <si>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</si>
  <si>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</si>
  <si>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</si>
  <si>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</si>
  <si>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</si>
  <si>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</si>
  <si>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</si>
  <si>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</si>
  <si>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</si>
  <si>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</si>
  <si>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</si>
  <si>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</si>
  <si>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</si>
  <si>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</si>
  <si>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</si>
  <si>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</si>
  <si>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</si>
  <si>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</si>
  <si>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</si>
  <si>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</si>
  <si>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</si>
  <si>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</si>
  <si>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</si>
  <si>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</si>
  <si>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</si>
  <si>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</si>
  <si>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</si>
  <si>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</si>
  <si>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</si>
  <si>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</si>
  <si>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</si>
  <si>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</si>
  <si>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</si>
  <si>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</si>
  <si>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</si>
  <si>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</si>
  <si>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</si>
  <si>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</si>
  <si>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</si>
  <si>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</si>
  <si>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</si>
  <si>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</si>
  <si>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</si>
  <si>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</si>
  <si>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</si>
  <si>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</si>
  <si>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</si>
  <si>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</si>
  <si>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</si>
  <si>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</si>
  <si>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</si>
  <si>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</si>
  <si>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</si>
  <si>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</si>
  <si>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</si>
  <si>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</si>
  <si>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</si>
  <si>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</si>
  <si>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</si>
  <si>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</si>
  <si>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</si>
  <si>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</si>
  <si>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</si>
  <si>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</si>
  <si>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</si>
  <si>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</si>
  <si>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</si>
  <si>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</si>
  <si>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</si>
  <si>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</si>
  <si>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</si>
  <si>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</si>
  <si>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</si>
  <si>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</si>
  <si>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</si>
  <si>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</si>
  <si>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</si>
  <si>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</si>
  <si>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</si>
  <si>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</si>
  <si>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</si>
  <si>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</si>
  <si>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</si>
  <si>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</si>
  <si>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</si>
  <si>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</si>
  <si>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</si>
  <si>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</si>
  <si>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</si>
  <si>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</si>
  <si>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</si>
  <si>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</si>
  <si>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</si>
  <si>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</si>
  <si>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</si>
  <si>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</si>
  <si>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</si>
  <si>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</si>
  <si>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</si>
  <si>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</si>
  <si>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</si>
  <si>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</si>
  <si>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</si>
  <si>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</si>
  <si>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</si>
  <si>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</si>
  <si>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</si>
  <si>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</si>
  <si>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</si>
  <si>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</si>
  <si>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</si>
  <si>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</si>
  <si>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</si>
  <si>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</si>
  <si>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</si>
  <si>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</si>
  <si>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</si>
  <si>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</si>
  <si>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</si>
  <si>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</si>
  <si>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</si>
  <si>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</si>
  <si>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</si>
  <si>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</si>
  <si>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</si>
  <si>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</si>
  <si>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</si>
  <si>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</si>
  <si>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</si>
  <si>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</si>
  <si>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</si>
  <si>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</si>
  <si>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</si>
  <si>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</si>
  <si>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</si>
  <si>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</si>
  <si>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</si>
  <si>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</si>
  <si>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</si>
  <si>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</si>
  <si>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</si>
  <si>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</si>
  <si>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</si>
  <si>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</si>
  <si>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</si>
  <si>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</si>
  <si>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</si>
  <si>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</si>
  <si>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</si>
  <si>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</si>
  <si>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</si>
  <si>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</si>
  <si>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</si>
  <si>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</si>
  <si>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</si>
  <si>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</si>
  <si>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</si>
  <si>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</si>
  <si>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</si>
  <si>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</si>
  <si>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</si>
  <si>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</si>
  <si>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</si>
  <si>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</si>
  <si>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</si>
  <si>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</si>
  <si>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</si>
  <si>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</si>
  <si>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</si>
  <si>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</si>
  <si>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</si>
  <si>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</si>
  <si>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</si>
  <si>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</si>
  <si>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</si>
  <si>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</si>
  <si>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</si>
  <si>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</si>
  <si>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</si>
  <si>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</si>
  <si>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</si>
  <si>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</si>
  <si>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</si>
  <si>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</si>
  <si>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</si>
  <si>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</si>
  <si>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</si>
  <si>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</si>
  <si>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</si>
  <si>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</si>
  <si>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</si>
  <si>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</si>
  <si>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</si>
  <si>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</si>
  <si>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</si>
  <si>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</si>
  <si>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</si>
  <si>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</si>
  <si>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</si>
  <si>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</si>
  <si>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</si>
  <si>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</si>
  <si>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</si>
  <si>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</si>
  <si>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</si>
  <si>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</si>
  <si>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</si>
  <si>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</si>
  <si>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</si>
  <si>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</si>
  <si>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</si>
  <si>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</si>
  <si>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</si>
  <si>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</si>
  <si>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</si>
  <si>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</si>
  <si>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</si>
  <si>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</si>
  <si>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</si>
  <si>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</si>
  <si>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</si>
  <si>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</si>
  <si>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</si>
  <si>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</si>
  <si>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</si>
  <si>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</si>
  <si>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</si>
  <si>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</si>
  <si>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</si>
  <si>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</si>
  <si>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</si>
  <si>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</si>
  <si>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</si>
  <si>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</si>
  <si>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</si>
  <si>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</si>
  <si>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</si>
  <si>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</si>
  <si>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</si>
  <si>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</si>
  <si>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</si>
  <si>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</si>
  <si>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</si>
  <si>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</si>
  <si>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</si>
  <si>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</si>
  <si>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</si>
  <si>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</si>
  <si>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</si>
  <si>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</si>
  <si>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</si>
  <si>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</si>
  <si>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</si>
  <si>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</si>
  <si>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</si>
  <si>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</si>
  <si>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</si>
  <si>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</si>
  <si>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</si>
  <si>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</si>
  <si>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</si>
  <si>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</si>
  <si>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</si>
  <si>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</si>
  <si>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</si>
  <si>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</si>
  <si>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</si>
  <si>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</si>
  <si>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</si>
  <si>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</si>
  <si>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</si>
  <si>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</si>
  <si>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</si>
  <si>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</si>
  <si>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</si>
  <si>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</si>
  <si>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</si>
  <si>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</si>
  <si>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</si>
  <si>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</si>
  <si>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</si>
  <si>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</si>
  <si>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</si>
  <si>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</si>
  <si>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</si>
  <si>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</si>
  <si>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</si>
  <si>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</si>
  <si>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</si>
  <si>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</si>
  <si>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</si>
  <si>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</si>
  <si>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</si>
  <si>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</si>
  <si>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</si>
  <si>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</si>
  <si>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</si>
  <si>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</si>
  <si>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</si>
  <si>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</si>
  <si>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</si>
  <si>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</si>
  <si>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</si>
  <si>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</si>
  <si>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</si>
  <si>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</si>
  <si>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</si>
  <si>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</si>
  <si>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</si>
  <si>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</si>
  <si>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</si>
  <si>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</si>
  <si>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</si>
  <si>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</si>
  <si>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</si>
  <si>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</si>
  <si>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</si>
  <si>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</si>
  <si>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</si>
  <si>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</si>
  <si>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</si>
  <si>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</si>
  <si>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</si>
  <si>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</si>
  <si>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</si>
  <si>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</si>
  <si>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</si>
  <si>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</si>
  <si>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</si>
  <si>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</si>
  <si>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</si>
  <si>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</si>
  <si>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</si>
  <si>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</si>
  <si>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</si>
  <si>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</si>
  <si>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</si>
  <si>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</si>
  <si>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</si>
  <si>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</si>
  <si>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</si>
  <si>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</si>
  <si>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</si>
  <si>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</si>
  <si>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</si>
  <si>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</si>
  <si>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</si>
  <si>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</si>
  <si>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</si>
  <si>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</si>
  <si>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</si>
  <si>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</si>
  <si>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</si>
  <si>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</si>
  <si>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</si>
  <si>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</si>
  <si>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</si>
  <si>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</si>
  <si>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</si>
  <si>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</si>
  <si>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</si>
  <si>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</si>
  <si>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</si>
  <si>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</si>
  <si>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</si>
  <si>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</si>
  <si>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</si>
  <si>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</si>
  <si>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</si>
  <si>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</si>
  <si>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</si>
  <si>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</si>
  <si>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</si>
  <si>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</si>
  <si>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</si>
  <si>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</si>
  <si>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</si>
  <si>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</si>
  <si>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</si>
  <si>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</si>
  <si>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</si>
  <si>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</si>
  <si>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</si>
  <si>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</si>
  <si>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</si>
  <si>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</si>
  <si>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</si>
  <si>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</si>
  <si>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</si>
  <si>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</si>
  <si>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</si>
  <si>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</si>
  <si>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</si>
  <si>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</si>
  <si>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</si>
  <si>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</si>
  <si>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</si>
  <si>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</si>
  <si>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</si>
  <si>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</si>
  <si>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</si>
  <si>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</si>
  <si>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</si>
  <si>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</si>
  <si>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</si>
  <si>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</si>
  <si>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</si>
  <si>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</si>
  <si>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</si>
  <si>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</si>
  <si>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</si>
  <si>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</si>
  <si>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</si>
  <si>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</si>
  <si>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</si>
  <si>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</si>
  <si>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</si>
  <si>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</si>
  <si>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</si>
  <si>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</si>
  <si>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</si>
  <si>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</si>
  <si>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</si>
  <si>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</si>
  <si>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</si>
  <si>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</si>
  <si>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</si>
  <si>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</si>
  <si>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</si>
  <si>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</si>
  <si>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</si>
  <si>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</si>
  <si>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</si>
  <si>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</si>
  <si>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</si>
  <si>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</si>
  <si>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</si>
  <si>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</si>
  <si>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</si>
  <si>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</si>
  <si>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</si>
  <si>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</si>
  <si>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</si>
  <si>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</si>
  <si>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</si>
  <si>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</si>
  <si>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</si>
  <si>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</si>
  <si>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</si>
  <si>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</si>
  <si>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</si>
  <si>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</si>
  <si>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</si>
  <si>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</si>
  <si>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</si>
  <si>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</si>
  <si>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</si>
  <si>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</si>
  <si>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</si>
  <si>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</si>
  <si>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</si>
  <si>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</si>
  <si>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</si>
  <si>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</si>
  <si>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</si>
  <si>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</si>
  <si>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</si>
  <si>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</si>
  <si>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</si>
  <si>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</si>
  <si>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</si>
  <si>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</si>
  <si>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</si>
  <si>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</si>
  <si>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</si>
  <si>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</si>
  <si>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</si>
  <si>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</si>
  <si>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</si>
  <si>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</si>
  <si>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</si>
  <si>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</si>
  <si>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</si>
  <si>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</si>
  <si>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</si>
  <si>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</si>
  <si>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</si>
  <si>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</si>
  <si>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</si>
  <si>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</si>
  <si>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</si>
  <si>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</si>
  <si>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</si>
  <si>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</si>
  <si>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</si>
  <si>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</si>
  <si>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</si>
  <si>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</si>
  <si>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</si>
  <si>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</si>
  <si>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</si>
  <si>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</si>
  <si>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</si>
  <si>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</si>
  <si>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</si>
  <si>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</si>
  <si>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</si>
  <si>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</si>
  <si>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</si>
  <si>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</si>
  <si>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</si>
  <si>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</si>
  <si>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</si>
  <si>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</si>
  <si>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</si>
  <si>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</si>
  <si>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</si>
  <si>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</si>
  <si>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</si>
  <si>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</si>
  <si>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</si>
  <si>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</si>
  <si>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</si>
  <si>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</si>
  <si>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</si>
  <si>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</si>
  <si>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</si>
  <si>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</si>
  <si>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</si>
  <si>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</si>
  <si>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</si>
  <si>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</si>
  <si>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</si>
  <si>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</si>
  <si>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</si>
  <si>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</si>
  <si>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</si>
  <si>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</si>
  <si>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</si>
  <si>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</si>
  <si>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</si>
  <si>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</si>
  <si>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</si>
  <si>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</si>
  <si>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</si>
  <si>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</si>
  <si>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</si>
  <si>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</si>
  <si>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</si>
  <si>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</si>
  <si>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</si>
  <si>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</si>
  <si>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</si>
  <si>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</si>
  <si>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</si>
  <si>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</si>
  <si>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</si>
  <si>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</si>
  <si>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</si>
  <si>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</si>
  <si>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</si>
  <si>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</si>
  <si>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</si>
  <si>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</si>
  <si>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</si>
  <si>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</si>
  <si>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</si>
  <si>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</si>
  <si>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</si>
  <si>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</si>
  <si>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</si>
  <si>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</si>
  <si>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</si>
  <si>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</si>
  <si>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</si>
  <si>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</si>
  <si>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</si>
  <si>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</si>
  <si>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</si>
  <si>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</si>
  <si>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</si>
  <si>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</si>
  <si>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</si>
  <si>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</si>
  <si>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</si>
  <si>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</si>
  <si>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</si>
  <si>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</si>
  <si>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</si>
  <si>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</si>
  <si>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</si>
  <si>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</si>
  <si>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</si>
  <si>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</si>
  <si>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</si>
  <si>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</si>
  <si>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</si>
  <si>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</si>
  <si>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</si>
  <si>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</si>
  <si>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</si>
  <si>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</si>
  <si>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</si>
  <si>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</si>
  <si>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</si>
  <si>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</si>
  <si>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</si>
  <si>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</si>
  <si>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</si>
  <si>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</si>
  <si>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</si>
  <si>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</si>
  <si>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</si>
  <si>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</si>
  <si>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</si>
  <si>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</si>
  <si>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</si>
  <si>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</si>
  <si>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</si>
  <si>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</si>
  <si>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</si>
  <si>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</si>
  <si>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</si>
  <si>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</si>
  <si>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</si>
  <si>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</si>
  <si>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</si>
  <si>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</si>
  <si>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</si>
  <si>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</si>
  <si>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</si>
  <si>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</si>
  <si>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</si>
  <si>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</si>
  <si>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</si>
  <si>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</si>
  <si>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</si>
  <si>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</si>
  <si>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</si>
  <si>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</si>
  <si>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</si>
  <si>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</si>
  <si>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</si>
  <si>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</si>
  <si>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</si>
  <si>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</si>
  <si>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</si>
  <si>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</si>
  <si>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</si>
  <si>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</si>
  <si>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</si>
  <si>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</si>
  <si>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</si>
  <si>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</si>
  <si>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</si>
  <si>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</si>
  <si>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</si>
  <si>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</si>
  <si>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</si>
  <si>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</si>
  <si>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</si>
  <si>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</si>
  <si>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</si>
  <si>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</si>
  <si>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</si>
  <si>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</si>
  <si>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</si>
  <si>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</si>
  <si>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</si>
  <si>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</si>
  <si>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</si>
  <si>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</si>
  <si>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</si>
  <si>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</si>
  <si>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</si>
  <si>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</si>
  <si>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</si>
  <si>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</si>
  <si>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</si>
  <si>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</si>
  <si>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</si>
  <si>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</si>
  <si>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</si>
  <si>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</si>
  <si>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</si>
  <si>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</si>
  <si>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</si>
  <si>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</si>
  <si>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</si>
  <si>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</si>
  <si>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</si>
  <si>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</si>
  <si>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</si>
  <si>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</si>
  <si>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</si>
  <si>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</si>
  <si>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</si>
  <si>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</si>
  <si>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</si>
  <si>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</si>
  <si>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</si>
  <si>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</si>
  <si>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</si>
  <si>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</si>
  <si>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</si>
  <si>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</si>
  <si>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</si>
  <si>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</si>
  <si>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</si>
  <si>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</si>
  <si>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</si>
  <si>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</si>
  <si>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</si>
  <si>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</si>
  <si>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</si>
  <si>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</si>
  <si>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</si>
  <si>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</si>
  <si>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</si>
  <si>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</si>
  <si>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</si>
  <si>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</si>
  <si>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</si>
  <si>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</si>
  <si>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</si>
  <si>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</si>
  <si>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</si>
  <si>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</si>
  <si>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</si>
  <si>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</si>
  <si>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</si>
  <si>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</si>
  <si>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</si>
  <si>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</si>
  <si>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</si>
  <si>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</si>
  <si>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</si>
  <si>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</si>
  <si>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</si>
  <si>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</si>
  <si>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</si>
  <si>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</si>
  <si>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</si>
  <si>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</si>
  <si>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</si>
  <si>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</si>
  <si>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</si>
  <si>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</si>
  <si>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</si>
  <si>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</si>
  <si>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</si>
  <si>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</si>
  <si>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</si>
  <si>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</si>
  <si>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</si>
  <si>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</si>
  <si>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</si>
  <si>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</si>
  <si>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</si>
  <si>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</si>
  <si>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</si>
  <si>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</si>
  <si>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Column Name</t>
  </si>
  <si>
    <t>Count</t>
  </si>
  <si>
    <t>device type</t>
  </si>
  <si>
    <t>traffic source</t>
  </si>
  <si>
    <t>plan type</t>
  </si>
  <si>
    <t>Missing values</t>
  </si>
  <si>
    <t>Group Counts</t>
  </si>
  <si>
    <t>Control count</t>
  </si>
  <si>
    <t>Treatment count</t>
  </si>
  <si>
    <t>Duplicate User IDs</t>
  </si>
  <si>
    <t>Total duplicate rows</t>
  </si>
  <si>
    <t>Unique IDs duplicated</t>
  </si>
  <si>
    <t>Invalid Binary Values</t>
  </si>
  <si>
    <t>visited_landing_page invalid</t>
  </si>
  <si>
    <t>started_trial invalid</t>
  </si>
  <si>
    <t>completed_onboarding invalid</t>
  </si>
  <si>
    <t>converted_to_paid invalid</t>
  </si>
  <si>
    <t>refund_requested invalid</t>
  </si>
  <si>
    <t>Revenue Outliers</t>
  </si>
  <si>
    <t>Mean revenue</t>
  </si>
  <si>
    <t>Std dev revenue</t>
  </si>
  <si>
    <t>Outlier threshold (mean+3*std)</t>
  </si>
  <si>
    <t>Outlier count</t>
  </si>
  <si>
    <t>Minimum revenue</t>
  </si>
  <si>
    <t>Maximum revenue</t>
  </si>
  <si>
    <t>Row Labels</t>
  </si>
  <si>
    <t>Grand Total</t>
  </si>
  <si>
    <t>Column Labels</t>
  </si>
  <si>
    <t>Count of user_id</t>
  </si>
  <si>
    <t>Final Documentation Sheet</t>
  </si>
  <si>
    <t>Check</t>
  </si>
  <si>
    <t>Results</t>
  </si>
  <si>
    <t>Missing Values</t>
  </si>
  <si>
    <t>Device=18, Traffic=24</t>
  </si>
  <si>
    <t>Control=693 , Treatment=715</t>
  </si>
  <si>
    <t>Duplicate User Ids</t>
  </si>
  <si>
    <t>16 found</t>
  </si>
  <si>
    <t>Revenue Outliners</t>
  </si>
  <si>
    <t xml:space="preserve"> Minimum Revenue:$0.00,Maximum revenue:$8610.72, Potential outliners indentified:27</t>
  </si>
  <si>
    <t>Segment Distribution</t>
  </si>
  <si>
    <t>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</si>
</sst>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2"/>
      <name val="Carlito"/>
    </font>
    <font>
      <b/>
      <sz val="11"/>
      <color theme="0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2" xfId="0" applyBorder="1"/>
    <xf numFmtId="0" fontId="2" fillId="0" borderId="2" xfId="0" applyFont="1" applyBorder="1"/>
    <xf numFmtId="0" fontId="2" fillId="3" borderId="2" xfId="0" applyFont="1" applyFill="1" applyBorder="1"/>
    <xf numFmtId="0" fontId="0" fillId="0" borderId="3" xfId="0" applyBorder="1"/>
    <xf numFmtId="0" fontId="2" fillId="0" borderId="1" xfId="0" applyFont="1" applyBorder="1"/>
    <xf numFmtId="0" fontId="4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v" refreshedDate="46198.001203703701" createdVersion="8" refreshedVersion="8" minRefreshableVersion="3" recordCount="1408" xr:uid="{2686385A-D789-412B-8F5F-11A83F7D9711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x v="2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x v="0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x v="2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x v="2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x v="3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x v="2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x v="3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x v="3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x v="2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x v="3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x v="2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x v="2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x v="0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x v="3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x v="2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x v="3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x v="2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x v="2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x v="2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x v="2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x v="2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x v="2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x v="2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x v="2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x v="2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x v="0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x v="0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x v="0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x v="3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x v="2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x v="0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x v="3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x v="0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x v="0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x v="3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x v="1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x v="2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x v="3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x v="0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x v="0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x v="2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x v="3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x v="3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x v="1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x v="0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x v="3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x v="3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x v="1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x v="0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x v="0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x v="0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x v="3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x v="3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x v="3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x v="1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x v="1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x v="3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x v="1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x v="0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x v="1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x v="2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x v="0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x v="0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x v="3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x v="1"/>
    <m/>
    <s v="Email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x v="2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x v="3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x v="2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x v="3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x v="3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x v="1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x v="2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x v="2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x v="1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x v="0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x v="3"/>
    <s v="Mobile"/>
    <s v="Referral"/>
    <s v="Free"/>
    <n v="1"/>
    <n v="1"/>
    <n v="0"/>
    <n v="0"/>
    <n v="0"/>
    <n v="0"/>
    <n v="0"/>
    <m/>
    <m/>
  </r>
  <r>
    <s v="USR-100155"/>
    <d v="2025-02-04T00:00:00"/>
    <x v="0"/>
    <x v="1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x v="1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x v="2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x v="0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s v="Organic"/>
    <s v="Free"/>
    <n v="0"/>
    <n v="0"/>
    <n v="0"/>
    <n v="0"/>
    <n v="0"/>
    <n v="0"/>
    <n v="0"/>
    <m/>
    <m/>
  </r>
  <r>
    <s v="USR-100163"/>
    <d v="2025-04-11T00:00:00"/>
    <x v="0"/>
    <x v="3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x v="2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x v="3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x v="3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x v="1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x v="2"/>
    <m/>
    <s v="Paid Search"/>
    <s v="Free"/>
    <n v="1"/>
    <n v="1"/>
    <n v="1"/>
    <n v="0"/>
    <n v="0"/>
    <n v="0"/>
    <n v="0"/>
    <m/>
    <n v="44.4"/>
  </r>
  <r>
    <s v="USR-100172"/>
    <d v="2025-03-23T00:00:00"/>
    <x v="0"/>
    <x v="0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x v="0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x v="2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x v="3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x v="0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x v="1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x v="3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x v="3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x v="3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x v="3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x v="2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x v="1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x v="0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x v="3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x v="0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x v="0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x v="3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x v="0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x v="2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x v="3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x v="2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x v="0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x v="2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x v="2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x v="3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s v="Social"/>
    <s v="Free"/>
    <n v="1"/>
    <n v="0"/>
    <n v="0"/>
    <n v="0"/>
    <n v="0"/>
    <n v="0"/>
    <n v="0"/>
    <m/>
    <m/>
  </r>
  <r>
    <s v="USR-100219"/>
    <d v="2025-02-19T00:00:00"/>
    <x v="0"/>
    <x v="2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x v="1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x v="2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x v="3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x v="1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x v="1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x v="3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x v="0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x v="0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x v="0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x v="1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x v="0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x v="0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x v="0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x v="1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x v="3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x v="0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x v="1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x v="0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x v="2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x v="3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x v="0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x v="1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x v="0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x v="3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x v="0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x v="0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x v="3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x v="1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x v="1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x v="2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x v="3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x v="2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x v="2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x v="2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x v="0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x v="3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x v="1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x v="0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x v="0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x v="2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x v="1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x v="1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x v="2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x v="2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x v="3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x v="0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x v="0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x v="3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x v="3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x v="0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x v="1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x v="2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x v="0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x v="0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x v="2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x v="1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x v="3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x v="0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x v="2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x v="1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x v="2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x v="1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x v="1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x v="0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x v="3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x v="3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x v="0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x v="3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x v="3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x v="0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x v="2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x v="2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x v="1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x v="1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x v="3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x v="1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x v="0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x v="2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x v="3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x v="2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x v="3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x v="3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x v="0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x v="0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x v="0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x v="0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x v="2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x v="3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x v="1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x v="3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x v="2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x v="2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x v="3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x v="2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x v="0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x v="1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x v="3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x v="0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x v="1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x v="0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x v="1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x v="0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x v="1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x v="2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x v="3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x v="2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x v="3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x v="1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x v="1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x v="0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x v="0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x v="1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x v="1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x v="3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x v="0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x v="1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x v="2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x v="3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x v="2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x v="1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x v="2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x v="0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x v="2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x v="3"/>
    <s v="Tablet"/>
    <m/>
    <s v="Free"/>
    <n v="0"/>
    <n v="0"/>
    <n v="0"/>
    <n v="0"/>
    <n v="0"/>
    <n v="0"/>
    <n v="0"/>
    <m/>
    <n v="51.5"/>
  </r>
  <r>
    <s v="USR-100456"/>
    <d v="2025-05-14T00:00:00"/>
    <x v="0"/>
    <x v="2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x v="0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x v="0"/>
    <m/>
    <s v="Organic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x v="0"/>
    <s v="Mobile"/>
    <m/>
    <s v="Free"/>
    <n v="0"/>
    <n v="0"/>
    <n v="0"/>
    <n v="0"/>
    <n v="0"/>
    <n v="0"/>
    <n v="0"/>
    <m/>
    <n v="56.5"/>
  </r>
  <r>
    <s v="USR-100466"/>
    <d v="2025-01-08T00:00:00"/>
    <x v="0"/>
    <x v="1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x v="1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x v="0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x v="1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x v="3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x v="2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x v="3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x v="1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x v="1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x v="0"/>
    <m/>
    <s v="Organic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x v="1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x v="0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x v="3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x v="3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x v="3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x v="0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x v="0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x v="3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x v="0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x v="3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x v="3"/>
    <s v="Mobile"/>
    <m/>
    <s v="Free"/>
    <n v="1"/>
    <n v="1"/>
    <n v="0"/>
    <n v="0"/>
    <n v="0"/>
    <n v="0"/>
    <n v="0"/>
    <m/>
    <n v="31.4"/>
  </r>
  <r>
    <s v="USR-100514"/>
    <d v="2025-05-09T00:00:00"/>
    <x v="0"/>
    <x v="3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x v="0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x v="0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x v="2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x v="1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x v="2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x v="3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x v="1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x v="0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x v="2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x v="3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x v="1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x v="2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x v="3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x v="1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x v="0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x v="2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x v="2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s v="Social"/>
    <s v="Basic"/>
    <n v="0"/>
    <n v="0"/>
    <n v="0"/>
    <n v="0"/>
    <n v="0"/>
    <n v="0"/>
    <n v="0"/>
    <m/>
    <m/>
  </r>
  <r>
    <s v="USR-100546"/>
    <d v="2025-03-18T00:00:00"/>
    <x v="0"/>
    <x v="2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x v="0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x v="0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x v="2"/>
    <m/>
    <s v="Social"/>
    <s v="Free"/>
    <n v="1"/>
    <n v="1"/>
    <n v="0"/>
    <n v="0"/>
    <n v="0"/>
    <n v="0"/>
    <n v="0"/>
    <m/>
    <n v="55.8"/>
  </r>
  <r>
    <s v="USR-100552"/>
    <d v="2025-01-02T00:00:00"/>
    <x v="0"/>
    <x v="3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x v="1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x v="3"/>
    <m/>
    <s v="Organic"/>
    <s v="Free"/>
    <n v="1"/>
    <n v="1"/>
    <n v="1"/>
    <n v="0"/>
    <n v="0"/>
    <n v="0"/>
    <n v="0"/>
    <m/>
    <n v="58.3"/>
  </r>
  <r>
    <s v="USR-100556"/>
    <d v="2025-05-06T00:00:00"/>
    <x v="0"/>
    <x v="3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x v="0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x v="0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x v="0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x v="2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x v="2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x v="1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x v="0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x v="1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x v="1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x v="2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x v="3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x v="1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x v="3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x v="2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x v="2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x v="3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x v="0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x v="3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x v="2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x v="0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x v="2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x v="2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x v="0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x v="2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x v="0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x v="0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x v="2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x v="0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x v="2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x v="3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x v="0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x v="3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x v="2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x v="1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x v="3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x v="0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x v="2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s v="Social"/>
    <s v="Free"/>
    <n v="1"/>
    <n v="0"/>
    <n v="0"/>
    <n v="0"/>
    <n v="0"/>
    <n v="0"/>
    <n v="0"/>
    <m/>
    <m/>
  </r>
  <r>
    <s v="USR-100633"/>
    <d v="2025-03-07T00:00:00"/>
    <x v="0"/>
    <x v="2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x v="3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m/>
    <s v="Premium"/>
    <n v="1"/>
    <n v="0"/>
    <n v="0"/>
    <n v="0"/>
    <n v="0"/>
    <n v="3"/>
    <n v="0"/>
    <m/>
    <n v="56"/>
  </r>
  <r>
    <s v="USR-100636"/>
    <d v="2025-01-14T00:00:00"/>
    <x v="0"/>
    <x v="1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x v="1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x v="1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x v="2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x v="0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x v="3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x v="2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x v="2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x v="0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x v="3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x v="1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x v="1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x v="3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x v="3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x v="0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x v="0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x v="0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x v="1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x v="1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x v="3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x v="0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x v="1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x v="3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x v="1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x v="0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x v="0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x v="2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x v="1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x v="0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x v="0"/>
    <s v="Desktop"/>
    <m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s v="Social"/>
    <s v="Free"/>
    <n v="1"/>
    <n v="0"/>
    <n v="0"/>
    <n v="0"/>
    <n v="0"/>
    <n v="0"/>
    <n v="0"/>
    <m/>
    <m/>
  </r>
  <r>
    <s v="USR-100695"/>
    <d v="2025-01-21T00:00:00"/>
    <x v="1"/>
    <x v="3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x v="0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x v="0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x v="1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x v="3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x v="0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x v="3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s v="Organic"/>
    <s v="Basic"/>
    <n v="1"/>
    <n v="0"/>
    <n v="0"/>
    <n v="0"/>
    <n v="0"/>
    <n v="0"/>
    <n v="0"/>
    <m/>
    <m/>
  </r>
  <r>
    <s v="USR-100708"/>
    <d v="2025-05-11T00:00:00"/>
    <x v="1"/>
    <x v="3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x v="3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x v="0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x v="0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x v="3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x v="3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x v="1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x v="1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x v="2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x v="3"/>
    <s v="Mobile"/>
    <m/>
    <s v="Free"/>
    <n v="0"/>
    <n v="0"/>
    <n v="0"/>
    <n v="0"/>
    <n v="0"/>
    <n v="0"/>
    <n v="0"/>
    <m/>
    <n v="57.7"/>
  </r>
  <r>
    <s v="USR-100724"/>
    <d v="2025-01-02T00:00:00"/>
    <x v="1"/>
    <x v="0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x v="2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x v="3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x v="3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x v="2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x v="2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x v="1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x v="3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x v="0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m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x v="0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x v="0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x v="1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x v="0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x v="0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x v="2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x v="0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x v="3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x v="0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x v="3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x v="1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x v="3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x v="1"/>
    <m/>
    <s v="Email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x v="2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x v="2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x v="2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x v="1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x v="1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x v="3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x v="0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x v="0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x v="1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x v="0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x v="0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x v="0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x v="1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x v="1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x v="1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x v="3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x v="1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x v="1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x v="1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x v="0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x v="3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x v="1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x v="0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x v="3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x v="1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x v="2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x v="1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x v="2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x v="0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x v="1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x v="2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x v="1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x v="3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x v="2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x v="3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x v="2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x v="2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x v="3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x v="1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x v="0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x v="3"/>
    <s v="Mobile"/>
    <s v="Organic"/>
    <s v="Premium"/>
    <n v="1"/>
    <n v="0"/>
    <n v="0"/>
    <n v="0"/>
    <n v="0"/>
    <n v="0"/>
    <n v="0"/>
    <m/>
    <m/>
  </r>
  <r>
    <s v="USR-100844"/>
    <d v="2025-01-22T00:00:00"/>
    <x v="1"/>
    <x v="3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x v="2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x v="3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x v="2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x v="0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x v="0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x v="3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x v="2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x v="2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x v="3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x v="0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x v="2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x v="3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x v="0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x v="1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x v="2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x v="1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x v="1"/>
    <m/>
    <s v="Social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x v="3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x v="1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x v="1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x v="2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x v="3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x v="3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x v="0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x v="0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x v="1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x v="3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m/>
    <s v="Free"/>
    <n v="1"/>
    <n v="0"/>
    <n v="0"/>
    <n v="0"/>
    <n v="0"/>
    <n v="0"/>
    <n v="0"/>
    <m/>
    <n v="100"/>
  </r>
  <r>
    <s v="USR-100899"/>
    <d v="2025-04-03T00:00:00"/>
    <x v="1"/>
    <x v="3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x v="3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x v="3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x v="2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x v="1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x v="1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x v="1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x v="2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x v="3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x v="3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x v="1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x v="0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x v="1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x v="2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x v="0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x v="2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x v="1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x v="2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m/>
    <s v="Basic"/>
    <n v="0"/>
    <n v="0"/>
    <n v="0"/>
    <n v="0"/>
    <n v="0"/>
    <n v="0"/>
    <n v="0"/>
    <m/>
    <n v="82"/>
  </r>
  <r>
    <s v="USR-100938"/>
    <d v="2025-04-18T00:00:00"/>
    <x v="1"/>
    <x v="2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x v="0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x v="3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x v="3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x v="0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x v="0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x v="3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m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x v="0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x v="1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x v="1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x v="2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x v="0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x v="2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x v="2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x v="3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x v="0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x v="3"/>
    <s v="Desktop"/>
    <m/>
    <s v="Free"/>
    <n v="1"/>
    <n v="0"/>
    <n v="0"/>
    <n v="0"/>
    <n v="0"/>
    <n v="0"/>
    <n v="0"/>
    <m/>
    <n v="59"/>
  </r>
  <r>
    <s v="USR-100968"/>
    <d v="2025-02-26T00:00:00"/>
    <x v="1"/>
    <x v="1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x v="3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x v="2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x v="3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x v="0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x v="0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x v="1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x v="2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x v="2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x v="2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x v="3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x v="3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x v="2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x v="0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x v="3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x v="2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x v="2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x v="0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x v="1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x v="1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x v="2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x v="3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x v="0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x v="0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x v="3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m/>
    <s v="Basic"/>
    <n v="1"/>
    <n v="0"/>
    <n v="0"/>
    <n v="0"/>
    <n v="0"/>
    <n v="0"/>
    <n v="0"/>
    <m/>
    <n v="63.6"/>
  </r>
  <r>
    <s v="USR-101019"/>
    <d v="2025-04-23T00:00:00"/>
    <x v="1"/>
    <x v="3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x v="3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x v="2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x v="2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x v="3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x v="1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x v="0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x v="0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x v="0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x v="1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x v="0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x v="1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x v="2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m/>
    <s v="Basic"/>
    <n v="1"/>
    <n v="0"/>
    <n v="0"/>
    <n v="0"/>
    <n v="0"/>
    <n v="0"/>
    <n v="0"/>
    <m/>
    <n v="68"/>
  </r>
  <r>
    <s v="USR-101046"/>
    <d v="2025-03-30T00:00:00"/>
    <x v="1"/>
    <x v="0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x v="1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x v="2"/>
    <m/>
    <s v="Paid Search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x v="3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x v="0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x v="2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x v="1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x v="3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x v="0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x v="3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x v="1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x v="3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x v="2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x v="2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x v="0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x v="2"/>
    <s v="Mobile"/>
    <s v="Referral"/>
    <s v="Free"/>
    <n v="1"/>
    <n v="0"/>
    <n v="0"/>
    <n v="0"/>
    <n v="0"/>
    <n v="1"/>
    <n v="0"/>
    <m/>
    <m/>
  </r>
  <r>
    <s v="USR-101074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x v="2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x v="1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x v="3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x v="2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x v="0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x v="3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x v="0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x v="0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x v="3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x v="3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x v="3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x v="2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x v="2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x v="0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x v="3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x v="1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x v="3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x v="0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x v="3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x v="3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x v="1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x v="1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x v="2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x v="3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x v="2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x v="1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x v="1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x v="0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x v="2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x v="3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x v="1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x v="3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x v="0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x v="0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x v="2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x v="3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x v="0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x v="1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x v="1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x v="2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x v="1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x v="3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x v="1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x v="1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x v="3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x v="1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x v="0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x v="2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x v="1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x v="0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x v="1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x v="3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x v="2"/>
    <m/>
    <s v="Paid Search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x v="2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x v="0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x v="1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x v="0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x v="2"/>
    <m/>
    <s v="Referral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x v="0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x v="3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x v="3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x v="1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x v="0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x v="2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x v="1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x v="1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x v="0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x v="3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x v="0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x v="3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x v="0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x v="2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x v="3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x v="1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x v="0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x v="2"/>
    <m/>
    <s v="Paid Search"/>
    <s v="Free"/>
    <n v="1"/>
    <n v="0"/>
    <n v="0"/>
    <n v="0"/>
    <n v="0"/>
    <n v="1"/>
    <n v="0"/>
    <m/>
    <n v="61.5"/>
  </r>
  <r>
    <s v="USR-101229"/>
    <d v="2025-03-18T00:00:00"/>
    <x v="1"/>
    <x v="1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x v="0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x v="1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x v="2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x v="0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x v="1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x v="2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m/>
    <s v="Free"/>
    <n v="0"/>
    <n v="0"/>
    <n v="0"/>
    <n v="0"/>
    <n v="0"/>
    <n v="0"/>
    <n v="0"/>
    <m/>
    <n v="88"/>
  </r>
  <r>
    <s v="USR-101241"/>
    <d v="2025-05-23T00:00:00"/>
    <x v="1"/>
    <x v="1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x v="0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x v="0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x v="1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x v="2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x v="1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x v="0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x v="0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x v="0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x v="2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x v="0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x v="2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x v="1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x v="1"/>
    <m/>
    <s v="Referral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x v="2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x v="0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x v="0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x v="1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x v="1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x v="0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x v="2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x v="1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x v="1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x v="2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x v="0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x v="0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x v="1"/>
    <s v="Mobile"/>
    <s v="Organic"/>
    <s v="Free"/>
    <n v="0"/>
    <n v="0"/>
    <n v="0"/>
    <n v="0"/>
    <n v="0"/>
    <n v="3"/>
    <n v="0"/>
    <m/>
    <m/>
  </r>
  <r>
    <s v="USR-101300"/>
    <d v="2025-01-18T00:00:00"/>
    <x v="1"/>
    <x v="3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x v="0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x v="0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x v="2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x v="1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x v="2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x v="1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x v="3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x v="2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x v="2"/>
    <s v="Tablet"/>
    <m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s v="Organic"/>
    <s v="Premium"/>
    <n v="0"/>
    <n v="0"/>
    <n v="0"/>
    <n v="0"/>
    <n v="0"/>
    <n v="0"/>
    <n v="0"/>
    <m/>
    <m/>
  </r>
  <r>
    <s v="USR-101317"/>
    <d v="2025-02-10T00:00:00"/>
    <x v="1"/>
    <x v="3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x v="3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x v="3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x v="0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x v="1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x v="2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x v="3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x v="3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x v="3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x v="3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x v="1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x v="1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x v="3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x v="3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x v="3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x v="3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x v="0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x v="3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x v="0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x v="2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m/>
    <s v="Free"/>
    <n v="1"/>
    <n v="1"/>
    <n v="1"/>
    <n v="0"/>
    <n v="0"/>
    <n v="0"/>
    <n v="0"/>
    <m/>
    <n v="84.3"/>
  </r>
  <r>
    <s v="USR-101357"/>
    <d v="2025-02-20T00:00:00"/>
    <x v="1"/>
    <x v="1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x v="1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x v="1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x v="3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x v="3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x v="3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x v="1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x v="0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x v="2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x v="3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x v="0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x v="3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x v="1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x v="1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x v="1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x v="0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x v="0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x v="0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x v="1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x v="2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x v="2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x v="0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x v="3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x v="1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x v="1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550F6-AB3B-4F1A-9A5E-966F27EEF18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44D0-1038-4B9C-A115-5E8F41CEA176}">
  <dimension ref="A3:D9"/>
  <sheetViews>
    <sheetView workbookViewId="0">
      <selection activeCell="A2" sqref="A2"/>
    </sheetView>
  </sheetViews>
  <sheetFormatPr defaultRowHeight="13.8"/>
  <cols>
    <col min="1" max="1" width="15.3984375" bestFit="1" customWidth="1"/>
    <col min="2" max="2" width="16.09765625" bestFit="1" customWidth="1"/>
    <col min="3" max="3" width="9.8984375" bestFit="1" customWidth="1"/>
    <col min="4" max="4" width="11" bestFit="1" customWidth="1"/>
  </cols>
  <sheetData>
    <row r="3" spans="1:4">
      <c r="A3" s="13" t="s">
        <v>1479</v>
      </c>
      <c r="B3" s="13" t="s">
        <v>1478</v>
      </c>
    </row>
    <row r="4" spans="1:4">
      <c r="A4" s="13" t="s">
        <v>1476</v>
      </c>
      <c r="B4" t="s">
        <v>17</v>
      </c>
      <c r="C4" t="s">
        <v>723</v>
      </c>
      <c r="D4" t="s">
        <v>1477</v>
      </c>
    </row>
    <row r="5" spans="1:4">
      <c r="A5" s="14" t="s">
        <v>28</v>
      </c>
      <c r="B5" s="15">
        <v>158</v>
      </c>
      <c r="C5" s="15">
        <v>172</v>
      </c>
      <c r="D5" s="15">
        <v>330</v>
      </c>
    </row>
    <row r="6" spans="1:4">
      <c r="A6" s="14" t="s">
        <v>18</v>
      </c>
      <c r="B6" s="15">
        <v>203</v>
      </c>
      <c r="C6" s="15">
        <v>180</v>
      </c>
      <c r="D6" s="15">
        <v>383</v>
      </c>
    </row>
    <row r="7" spans="1:4">
      <c r="A7" s="14" t="s">
        <v>32</v>
      </c>
      <c r="B7" s="15">
        <v>184</v>
      </c>
      <c r="C7" s="15">
        <v>184</v>
      </c>
      <c r="D7" s="15">
        <v>368</v>
      </c>
    </row>
    <row r="8" spans="1:4">
      <c r="A8" s="14" t="s">
        <v>23</v>
      </c>
      <c r="B8" s="15">
        <v>148</v>
      </c>
      <c r="C8" s="15">
        <v>179</v>
      </c>
      <c r="D8" s="15">
        <v>327</v>
      </c>
    </row>
    <row r="9" spans="1:4">
      <c r="A9" s="14" t="s">
        <v>1477</v>
      </c>
      <c r="B9" s="15">
        <v>693</v>
      </c>
      <c r="C9" s="15">
        <v>715</v>
      </c>
      <c r="D9" s="15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workbookViewId="0">
      <selection activeCell="A2" sqref="A2"/>
    </sheetView>
  </sheetViews>
  <sheetFormatPr defaultRowHeight="13.8"/>
  <cols>
    <col min="1" max="16" width="16" customWidth="1"/>
  </cols>
  <sheetData>
    <row r="1" spans="1:16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s="3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3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3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3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3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3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3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3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3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3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3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3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3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3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3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3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3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3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3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3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3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3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3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3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3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3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3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3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3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3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3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3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3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3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3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3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3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3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3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3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3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3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3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3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3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3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3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3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3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3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3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3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3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3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3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3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3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3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3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3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3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3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3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3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3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3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3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3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3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3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3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3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3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3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3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3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3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3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3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3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3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3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3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3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3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3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3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3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3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3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3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3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3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3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3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3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3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3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3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3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3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3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3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3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3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3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3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3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3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3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3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3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3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3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3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3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3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3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3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3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3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3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3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3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3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3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3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3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3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3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3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3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3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3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3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3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3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3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3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3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3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3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3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3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3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3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3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3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3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3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3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3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3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3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3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3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3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3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3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3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3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3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3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3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3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3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3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3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3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3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3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3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3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3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3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3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3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3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3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3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3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3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3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3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3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3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3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3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3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3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3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3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3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3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3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3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3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3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3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3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3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3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3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3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3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3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3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3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3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3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3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3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3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3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3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3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3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3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3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3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3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3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3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3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3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3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3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3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3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3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3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3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3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3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3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3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3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3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3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3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3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3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3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3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3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3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3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3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3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3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3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3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3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3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3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3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3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3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3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3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3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3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3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3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3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3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3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3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3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3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3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3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3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3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3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3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3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3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3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3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3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3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3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3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3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3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3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3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3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3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3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3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3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3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3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3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3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3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3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3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3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3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3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3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3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3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3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3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3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3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3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3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3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3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3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3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3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3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3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3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3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3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3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3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3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3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3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3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3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3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3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3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3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3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3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3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3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3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3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3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3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3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3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3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3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3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3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3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3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3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3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3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3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3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3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3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3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3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3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3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3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3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3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3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3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3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3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3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3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3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3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3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3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3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3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3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3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3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3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3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3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3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3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3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3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3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3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3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3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3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3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3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3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3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3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3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3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3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3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3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3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3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3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3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3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3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3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3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3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3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3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3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3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3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3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3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3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3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3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3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3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3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3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3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3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3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3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3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3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3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3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3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3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3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3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3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3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3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3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3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3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3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3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3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3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3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3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3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3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3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3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3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3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3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3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3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3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3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3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3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3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3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3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3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3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3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3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3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3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3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3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3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3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3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3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3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3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3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3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3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3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3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3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3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3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3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3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3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3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3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3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3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3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3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3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3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3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3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3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3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3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3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3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3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3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3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3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3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3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3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3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3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3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3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3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3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3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3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3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3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3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3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3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3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3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3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3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3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3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3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3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3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3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3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3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3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3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3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3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3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3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3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3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3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3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3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3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3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3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3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3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3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3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3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3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3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3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3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3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3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3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3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3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3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3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3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3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3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3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3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3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3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3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3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3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3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3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3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3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3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3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3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3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3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3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3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3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3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3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3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3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3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3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3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3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3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3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3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3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3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3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3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3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3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3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3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3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3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3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3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3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3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3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3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3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3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3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3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3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3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3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3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3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3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3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3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3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3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3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3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3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3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3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3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3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3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3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3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3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3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3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3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3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3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3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3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3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3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3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3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3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3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3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3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3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3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3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3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3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3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3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3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3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3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3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3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3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3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3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3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3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3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3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3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3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3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3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3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3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3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3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3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3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3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3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3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3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3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3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3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3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3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3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3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3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3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3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3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3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3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3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3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3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3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3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3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3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3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3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3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3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3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3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3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3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3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3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3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3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3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3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3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3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3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3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3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3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3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3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3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3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3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3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3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3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3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3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3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3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3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3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3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3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3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3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3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3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3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3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3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3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3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3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3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3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3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3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3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3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3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3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3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3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3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3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3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3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3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3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3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3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3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3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3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3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3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3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3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3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3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3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3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3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3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3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3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3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3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3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3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3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3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3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3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3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3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3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3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3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3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3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3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3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3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3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3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3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3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3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3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3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3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3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3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3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3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3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3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3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3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3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3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3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3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3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3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3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3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3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3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3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3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3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3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3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3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3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3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3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3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3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3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3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3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3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3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3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3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3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3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3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3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3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3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3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3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3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3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3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3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3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3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3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3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3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3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3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3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3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3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3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3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3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3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3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3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3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3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3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3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3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3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3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3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3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3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3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3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3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3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3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3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3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3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3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3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3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3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3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3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3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3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3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3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3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3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3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3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3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3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3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3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3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3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3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3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3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3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3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3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3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3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3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3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3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3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3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3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3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3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3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3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3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3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3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3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3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3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3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3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3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3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3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3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3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3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3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3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3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3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3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3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3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3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3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3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3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3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3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3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3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3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3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3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3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3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3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3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3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3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3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3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3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3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3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3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3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3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3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3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3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3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3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3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3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3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3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3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3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3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3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3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3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3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3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3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3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3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3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3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3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3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3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3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3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3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3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3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3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3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3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3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3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3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3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3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3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3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3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3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3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3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3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3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3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3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3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3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3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3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3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3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3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3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3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3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3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3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3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3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3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3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3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3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3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3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3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3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3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3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3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3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3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3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3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3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3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3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3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3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3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3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3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3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3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3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3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3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3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3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3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3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3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3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3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3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3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3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3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3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3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3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3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3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3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3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3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3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3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3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3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3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3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3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3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3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3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3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3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3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3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3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3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3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3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3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3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3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3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3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3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3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3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3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3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3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3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3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3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3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3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3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3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3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3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3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3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3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3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3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3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3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3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3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3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3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3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3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3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3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3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3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3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3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3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3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3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3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3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3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3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3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3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3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3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3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3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3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3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3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3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3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3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3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3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3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3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3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3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3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3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3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3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3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3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3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3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3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3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3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3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3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3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3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3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3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3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3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3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3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3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3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3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3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3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3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3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3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3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3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3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3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3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3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3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3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3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3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3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3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3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3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3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3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3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3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3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3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3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3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3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3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3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3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3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3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3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3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3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3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3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3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3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3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3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3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3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3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3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3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3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3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3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3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3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3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3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3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3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3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3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3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3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3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3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3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3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3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3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3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3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3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3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3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3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3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3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3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3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3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3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3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3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3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3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3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3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3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3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3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3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3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3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3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3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3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3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3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3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3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3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3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3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3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3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3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3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3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3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3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3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3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3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3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3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3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3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3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3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3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3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3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3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3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3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3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3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3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3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3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3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3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3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3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3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3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3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3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3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3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3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3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3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3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3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3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3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3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3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3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3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3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3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3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3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3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3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3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3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3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3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3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3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3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3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3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3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3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3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3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3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3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3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3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3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3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3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3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3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3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3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3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3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3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3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3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3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3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3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3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3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3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3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3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3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3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3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3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3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3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3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3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3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3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3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3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3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3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3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3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3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3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3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3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3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3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3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3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2" t="s">
        <v>1433</v>
      </c>
      <c r="B1" s="2" t="s">
        <v>1434</v>
      </c>
    </row>
    <row r="2" spans="1:2" ht="55.2">
      <c r="A2" s="4" t="s">
        <v>1435</v>
      </c>
      <c r="B2" s="4" t="s">
        <v>1436</v>
      </c>
    </row>
    <row r="3" spans="1:2">
      <c r="A3" s="4" t="s">
        <v>17</v>
      </c>
      <c r="B3" s="4" t="s">
        <v>1437</v>
      </c>
    </row>
    <row r="4" spans="1:2">
      <c r="A4" s="4" t="s">
        <v>723</v>
      </c>
      <c r="B4" s="4" t="s">
        <v>1438</v>
      </c>
    </row>
    <row r="5" spans="1:2" ht="41.4">
      <c r="A5" s="4" t="s">
        <v>1439</v>
      </c>
      <c r="B5" s="4" t="s">
        <v>1440</v>
      </c>
    </row>
    <row r="6" spans="1:2" ht="27.6">
      <c r="A6" s="4" t="s">
        <v>7</v>
      </c>
      <c r="B6" s="4" t="s">
        <v>1441</v>
      </c>
    </row>
    <row r="7" spans="1:2" ht="27.6">
      <c r="A7" s="4" t="s">
        <v>8</v>
      </c>
      <c r="B7" s="4" t="s">
        <v>1442</v>
      </c>
    </row>
    <row r="8" spans="1:2" ht="27.6">
      <c r="A8" s="4" t="s">
        <v>9</v>
      </c>
      <c r="B8" s="4" t="s">
        <v>1443</v>
      </c>
    </row>
    <row r="9" spans="1:2" ht="27.6">
      <c r="A9" s="4" t="s">
        <v>10</v>
      </c>
      <c r="B9" s="4" t="s">
        <v>1444</v>
      </c>
    </row>
    <row r="10" spans="1:2" ht="27.6">
      <c r="A10" s="4" t="s">
        <v>11</v>
      </c>
      <c r="B10" s="4" t="s">
        <v>1445</v>
      </c>
    </row>
    <row r="11" spans="1:2" ht="27.6">
      <c r="A11" s="4" t="s">
        <v>12</v>
      </c>
      <c r="B11" s="4" t="s">
        <v>1446</v>
      </c>
    </row>
    <row r="12" spans="1:2" ht="27.6">
      <c r="A12" s="4" t="s">
        <v>13</v>
      </c>
      <c r="B12" s="4" t="s">
        <v>1447</v>
      </c>
    </row>
    <row r="13" spans="1:2" ht="27.6">
      <c r="A13" s="4" t="s">
        <v>15</v>
      </c>
      <c r="B13" s="4" t="s">
        <v>1448</v>
      </c>
    </row>
    <row r="14" spans="1:2" ht="55.2">
      <c r="A14" s="4" t="s">
        <v>1449</v>
      </c>
      <c r="B14" s="4" t="s">
        <v>1450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5586-ADEF-4469-8631-BCCA129009C4}">
  <dimension ref="A1:H43"/>
  <sheetViews>
    <sheetView tabSelected="1" workbookViewId="0">
      <selection activeCell="E19" sqref="E19"/>
    </sheetView>
  </sheetViews>
  <sheetFormatPr defaultRowHeight="13.8"/>
  <cols>
    <col min="1" max="1" width="23.69921875" customWidth="1"/>
    <col min="2" max="2" width="15.3984375" customWidth="1"/>
    <col min="7" max="7" width="36.796875" customWidth="1"/>
    <col min="8" max="8" width="24.296875" customWidth="1"/>
  </cols>
  <sheetData>
    <row r="1" spans="1:8">
      <c r="A1" s="12" t="s">
        <v>1456</v>
      </c>
      <c r="B1" s="12"/>
      <c r="G1" s="11" t="s">
        <v>1480</v>
      </c>
      <c r="H1" s="11"/>
    </row>
    <row r="2" spans="1:8">
      <c r="A2" s="6" t="s">
        <v>1451</v>
      </c>
      <c r="B2" s="6" t="s">
        <v>1452</v>
      </c>
      <c r="G2" s="5"/>
      <c r="H2" s="5"/>
    </row>
    <row r="3" spans="1:8">
      <c r="A3" s="5" t="s">
        <v>0</v>
      </c>
      <c r="B3" s="5">
        <f>COUNTBLANK(experiment_data!A2:A1409)</f>
        <v>0</v>
      </c>
      <c r="G3" s="5" t="s">
        <v>1481</v>
      </c>
      <c r="H3" s="5" t="s">
        <v>1482</v>
      </c>
    </row>
    <row r="4" spans="1:8">
      <c r="A4" s="5" t="s">
        <v>1</v>
      </c>
      <c r="B4" s="5">
        <f>COUNTBLANK(experiment_data!B2:B1409)</f>
        <v>0</v>
      </c>
      <c r="G4" s="5" t="s">
        <v>1483</v>
      </c>
      <c r="H4" s="5" t="s">
        <v>1484</v>
      </c>
    </row>
    <row r="5" spans="1:8">
      <c r="A5" s="5" t="s">
        <v>2</v>
      </c>
      <c r="B5" s="5">
        <f>COUNTBLANK(experiment_data!C2:C1409)</f>
        <v>0</v>
      </c>
      <c r="G5" s="5" t="s">
        <v>1457</v>
      </c>
      <c r="H5" s="5" t="s">
        <v>1485</v>
      </c>
    </row>
    <row r="6" spans="1:8">
      <c r="A6" s="5" t="s">
        <v>3</v>
      </c>
      <c r="B6" s="5">
        <f>COUNTBLANK(experiment_data!D2:D1409)</f>
        <v>0</v>
      </c>
      <c r="G6" s="5" t="s">
        <v>1486</v>
      </c>
      <c r="H6" s="5" t="s">
        <v>1487</v>
      </c>
    </row>
    <row r="7" spans="1:8" ht="55.2">
      <c r="A7" s="7" t="s">
        <v>1453</v>
      </c>
      <c r="B7" s="7">
        <f>COUNTBLANK(experiment_data!E2:E1409)</f>
        <v>18</v>
      </c>
      <c r="G7" s="5" t="s">
        <v>1488</v>
      </c>
      <c r="H7" s="16" t="s">
        <v>1489</v>
      </c>
    </row>
    <row r="8" spans="1:8">
      <c r="A8" s="7" t="s">
        <v>1454</v>
      </c>
      <c r="B8" s="7">
        <f>COUNTBLANK(experiment_data!F2:F1409)</f>
        <v>24</v>
      </c>
      <c r="G8" s="5" t="s">
        <v>1490</v>
      </c>
      <c r="H8" s="5" t="s">
        <v>1491</v>
      </c>
    </row>
    <row r="9" spans="1:8">
      <c r="A9" s="5" t="s">
        <v>1455</v>
      </c>
      <c r="B9" s="5">
        <f>COUNTBLANK(experiment_data!G2:G1409)</f>
        <v>0</v>
      </c>
    </row>
    <row r="10" spans="1:8">
      <c r="A10" s="5" t="s">
        <v>7</v>
      </c>
      <c r="B10" s="5">
        <f>COUNTBLANK(experiment_data!H2:H1409)</f>
        <v>0</v>
      </c>
    </row>
    <row r="11" spans="1:8">
      <c r="A11" s="5" t="s">
        <v>8</v>
      </c>
      <c r="B11" s="5">
        <f>COUNTBLANK(experiment_data!I2:I1409)</f>
        <v>0</v>
      </c>
    </row>
    <row r="12" spans="1:8">
      <c r="A12" s="5" t="s">
        <v>9</v>
      </c>
      <c r="B12" s="5">
        <f>COUNTBLANK(experiment_data!J2:J1409)</f>
        <v>0</v>
      </c>
    </row>
    <row r="13" spans="1:8">
      <c r="A13" s="5" t="s">
        <v>10</v>
      </c>
      <c r="B13" s="5">
        <f>COUNTBLANK(experiment_data!K2:K1409)</f>
        <v>0</v>
      </c>
    </row>
    <row r="14" spans="1:8">
      <c r="A14" s="5" t="s">
        <v>11</v>
      </c>
      <c r="B14" s="5">
        <f>COUNTBLANK(experiment_data!L2:L1409)</f>
        <v>0</v>
      </c>
    </row>
    <row r="15" spans="1:8">
      <c r="A15" s="5" t="s">
        <v>12</v>
      </c>
      <c r="B15" s="5">
        <f>COUNTBLANK(experiment_data!M2:M1409)</f>
        <v>0</v>
      </c>
    </row>
    <row r="16" spans="1:8">
      <c r="A16" s="5" t="s">
        <v>13</v>
      </c>
      <c r="B16" s="5">
        <f>COUNTBLANK(experiment_data!N2:N1409)</f>
        <v>0</v>
      </c>
    </row>
    <row r="17" spans="1:3">
      <c r="A17" s="8"/>
      <c r="B17" s="1"/>
      <c r="C17" s="1"/>
    </row>
    <row r="18" spans="1:3">
      <c r="B18" s="9"/>
    </row>
    <row r="19" spans="1:3">
      <c r="A19" s="11" t="s">
        <v>1457</v>
      </c>
      <c r="B19" s="11"/>
    </row>
    <row r="20" spans="1:3">
      <c r="A20" s="5" t="s">
        <v>1458</v>
      </c>
      <c r="B20" s="5">
        <f>COUNTIF(experiment_data!C2:C1409,"Control")</f>
        <v>693</v>
      </c>
    </row>
    <row r="21" spans="1:3">
      <c r="A21" s="5" t="s">
        <v>1459</v>
      </c>
      <c r="B21" s="5">
        <f>COUNTIF(experiment_data!C2:C1409,"Treatment")</f>
        <v>715</v>
      </c>
    </row>
    <row r="24" spans="1:3">
      <c r="A24" s="11" t="s">
        <v>1460</v>
      </c>
      <c r="B24" s="11"/>
    </row>
    <row r="25" spans="1:3">
      <c r="A25" s="5" t="s">
        <v>1461</v>
      </c>
      <c r="B25" s="5">
        <f>SUMPRODUCT((COUNTIF(experiment_data!A2:A1409,experiment_data!A2:A1409)&gt;1)*1)</f>
        <v>16</v>
      </c>
    </row>
    <row r="26" spans="1:3">
      <c r="A26" s="5" t="s">
        <v>1462</v>
      </c>
      <c r="B26" s="5">
        <f>SUMPRODUCT((COUNTIF(experiment_data!A2:A1409,experiment_data!A2:A1409)=2)*1)/2</f>
        <v>8</v>
      </c>
    </row>
    <row r="29" spans="1:3">
      <c r="A29" s="10" t="s">
        <v>1463</v>
      </c>
      <c r="B29" s="10"/>
    </row>
    <row r="30" spans="1:3">
      <c r="A30" t="s">
        <v>1464</v>
      </c>
      <c r="B30">
        <f>COUNTIF(experiment_data!H2:H1409,"&lt;&gt;0")-COUNTIF(experiment_data!H2:H1409,1)</f>
        <v>0</v>
      </c>
    </row>
    <row r="31" spans="1:3">
      <c r="A31" t="s">
        <v>1465</v>
      </c>
      <c r="B31">
        <f>COUNTIF(experiment_data!I2:I1409,"&lt;&gt;0")-COUNTIF(experiment_data!I2:I1409,1)</f>
        <v>0</v>
      </c>
    </row>
    <row r="32" spans="1:3">
      <c r="A32" t="s">
        <v>1466</v>
      </c>
      <c r="B32">
        <f>COUNTIF(experiment_data!J2:J1409,"&lt;&gt;0")-COUNTIF(experiment_data!J2:J1409,1)</f>
        <v>0</v>
      </c>
    </row>
    <row r="33" spans="1:2">
      <c r="A33" t="s">
        <v>1467</v>
      </c>
      <c r="B33">
        <f>COUNTIF(experiment_data!K2:K1409,"&lt;&gt;0")-COUNTIF(experiment_data!K2:K1409,1)</f>
        <v>0</v>
      </c>
    </row>
    <row r="34" spans="1:2">
      <c r="A34" t="s">
        <v>1468</v>
      </c>
      <c r="B34">
        <f>COUNTIF(experiment_data!N2:N1409,"&lt;&gt;0")-COUNTIF(experiment_data!N2:N1409,1)</f>
        <v>0</v>
      </c>
    </row>
    <row r="37" spans="1:2">
      <c r="A37" s="10" t="s">
        <v>1469</v>
      </c>
      <c r="B37" s="10"/>
    </row>
    <row r="38" spans="1:2">
      <c r="A38" t="s">
        <v>1470</v>
      </c>
      <c r="B38">
        <f>AVERAGE(experiment_data!L2:L1409)</f>
        <v>52.828828124999994</v>
      </c>
    </row>
    <row r="39" spans="1:2">
      <c r="A39" t="s">
        <v>1471</v>
      </c>
      <c r="B39">
        <f>STDEV(experiment_data!L2:L1409)</f>
        <v>375.93670267237917</v>
      </c>
    </row>
    <row r="40" spans="1:2">
      <c r="A40" t="s">
        <v>1472</v>
      </c>
      <c r="B40">
        <f>B38+3*B39</f>
        <v>1180.6389361421375</v>
      </c>
    </row>
    <row r="41" spans="1:2">
      <c r="A41" t="s">
        <v>1473</v>
      </c>
      <c r="B41">
        <f>COUNTIF(experiment_data!L2:L1409,"&gt;"&amp;B32)</f>
        <v>72</v>
      </c>
    </row>
    <row r="42" spans="1:2">
      <c r="A42" t="s">
        <v>1474</v>
      </c>
      <c r="B42">
        <f>MIN(experiment_data!L2:L1409)</f>
        <v>0</v>
      </c>
    </row>
    <row r="43" spans="1:2">
      <c r="A43" t="s">
        <v>1475</v>
      </c>
      <c r="B43">
        <f>MAX(experiment_data!L2:L1409)</f>
        <v>8610.7199999999993</v>
      </c>
    </row>
  </sheetData>
  <mergeCells count="6">
    <mergeCell ref="A1:B1"/>
    <mergeCell ref="A19:B19"/>
    <mergeCell ref="A24:B24"/>
    <mergeCell ref="A29:B29"/>
    <mergeCell ref="A37:B37"/>
    <mergeCell ref="G1:H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experiment_data</vt:lpstr>
      <vt:lpstr>business_context</vt:lpstr>
      <vt:lpstr>Data quality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</dc:creator>
  <cp:lastModifiedBy>RISHAV SETH</cp:lastModifiedBy>
  <dcterms:created xsi:type="dcterms:W3CDTF">2026-06-24T18:57:41Z</dcterms:created>
  <dcterms:modified xsi:type="dcterms:W3CDTF">2026-06-24T18:57:42Z</dcterms:modified>
</cp:coreProperties>
</file>