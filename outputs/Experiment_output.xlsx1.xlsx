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av\Downloads\"/>
    </mc:Choice>
  </mc:AlternateContent>
  <xr:revisionPtr revIDLastSave="0" documentId="8_{723627B1-81C4-4B3A-BFFE-033E14D0D5E5}" xr6:coauthVersionLast="47" xr6:coauthVersionMax="47" xr10:uidLastSave="{00000000-0000-0000-0000-000000000000}"/>
  <bookViews>
    <workbookView xWindow="-108" yWindow="-108" windowWidth="23256" windowHeight="12456" activeTab="2" xr2:uid="{218105E3-F9F2-458C-8D0F-4E9DA9AC4132}"/>
  </bookViews>
  <sheets>
    <sheet name="Dataset" sheetId="1" r:id="rId1"/>
    <sheet name="Summary table" sheetId="2" r:id="rId2"/>
    <sheet name="Segmen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2" l="1"/>
  <c r="C14" i="2"/>
  <c r="C13" i="2"/>
  <c r="C10" i="2"/>
  <c r="C9" i="2"/>
  <c r="C8" i="2"/>
  <c r="B14" i="2"/>
  <c r="B13" i="2"/>
  <c r="B12" i="2"/>
  <c r="B10" i="2"/>
  <c r="B9" i="2"/>
  <c r="B8" i="2"/>
  <c r="C7" i="2"/>
  <c r="C6" i="2"/>
  <c r="B7" i="2"/>
  <c r="B6" i="2"/>
  <c r="C5" i="2"/>
  <c r="B5" i="2"/>
  <c r="C4" i="2"/>
  <c r="B4" i="2"/>
</calcChain>
</file>

<file path=xl/sharedStrings.xml><?xml version="1.0" encoding="utf-8"?>
<sst xmlns="http://schemas.openxmlformats.org/spreadsheetml/2006/main" count="8484" uniqueCount="1457">
  <si>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</si>
  <si>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</si>
  <si>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</si>
  <si>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</si>
  <si>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</si>
  <si>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</si>
  <si>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</si>
  <si>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</si>
  <si>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</si>
  <si>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</si>
  <si>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</si>
  <si>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</si>
  <si>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</si>
  <si>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</si>
  <si>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</si>
  <si>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</si>
  <si>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</si>
  <si>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</si>
  <si>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</si>
  <si>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</si>
  <si>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</si>
  <si>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</si>
  <si>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</si>
  <si>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</si>
  <si>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</si>
  <si>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</si>
  <si>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</si>
  <si>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</si>
  <si>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</si>
  <si>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</si>
  <si>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</si>
  <si>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</si>
  <si>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</si>
  <si>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</si>
  <si>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</si>
  <si>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</si>
  <si>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</si>
  <si>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</si>
  <si>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</si>
  <si>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</si>
  <si>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</si>
  <si>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</si>
  <si>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</si>
  <si>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</si>
  <si>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</si>
  <si>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</si>
  <si>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</si>
  <si>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</si>
  <si>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</si>
  <si>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</si>
  <si>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</si>
  <si>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</si>
  <si>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</si>
  <si>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</si>
  <si>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</si>
  <si>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</si>
  <si>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</si>
  <si>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</si>
  <si>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</si>
  <si>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</si>
  <si>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</si>
  <si>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</si>
  <si>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</si>
  <si>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</si>
  <si>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</si>
  <si>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</si>
  <si>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</si>
  <si>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</si>
  <si>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</si>
  <si>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</si>
  <si>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</si>
  <si>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</si>
  <si>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</si>
  <si>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</si>
  <si>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</si>
  <si>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</si>
  <si>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</si>
  <si>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</si>
  <si>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</si>
  <si>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</si>
  <si>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</si>
  <si>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</si>
  <si>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</si>
  <si>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</si>
  <si>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</si>
  <si>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</si>
  <si>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</si>
  <si>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</si>
  <si>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</si>
  <si>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</si>
  <si>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</si>
  <si>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</si>
  <si>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</si>
  <si>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</si>
  <si>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</si>
  <si>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</si>
  <si>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</si>
  <si>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</si>
  <si>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</si>
  <si>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</si>
  <si>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</si>
  <si>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</si>
  <si>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</si>
  <si>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</si>
  <si>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</si>
  <si>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</si>
  <si>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</si>
  <si>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</si>
  <si>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</si>
  <si>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</si>
  <si>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</si>
  <si>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</si>
  <si>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</si>
  <si>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</si>
  <si>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</si>
  <si>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</si>
  <si>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</si>
  <si>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</si>
  <si>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</si>
  <si>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</si>
  <si>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</si>
  <si>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</si>
  <si>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</si>
  <si>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</si>
  <si>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</si>
  <si>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</si>
  <si>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</si>
  <si>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</si>
  <si>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</si>
  <si>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</si>
  <si>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</si>
  <si>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</si>
  <si>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</si>
  <si>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</si>
  <si>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</si>
  <si>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</si>
  <si>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</si>
  <si>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</si>
  <si>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</si>
  <si>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</si>
  <si>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</si>
  <si>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</si>
  <si>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</si>
  <si>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</si>
  <si>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</si>
  <si>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</si>
  <si>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</si>
  <si>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</si>
  <si>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</si>
  <si>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</si>
  <si>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</si>
  <si>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</si>
  <si>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</si>
  <si>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</si>
  <si>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</si>
  <si>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</si>
  <si>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</si>
  <si>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</si>
  <si>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</si>
  <si>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</si>
  <si>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</si>
  <si>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</si>
  <si>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</si>
  <si>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</si>
  <si>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</si>
  <si>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</si>
  <si>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</si>
  <si>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</si>
  <si>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</si>
  <si>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</si>
  <si>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</si>
  <si>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</si>
  <si>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</si>
  <si>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</si>
  <si>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</si>
  <si>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</si>
  <si>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</si>
  <si>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</si>
  <si>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</si>
  <si>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</si>
  <si>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</si>
  <si>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</si>
  <si>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</si>
  <si>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</si>
  <si>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</si>
  <si>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</si>
  <si>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</si>
  <si>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</si>
  <si>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</si>
  <si>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</si>
  <si>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</si>
  <si>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</si>
  <si>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</si>
  <si>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</si>
  <si>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</si>
  <si>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</si>
  <si>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</si>
  <si>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</si>
  <si>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</si>
  <si>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</si>
  <si>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</si>
  <si>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</si>
  <si>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</si>
  <si>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</si>
  <si>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</si>
  <si>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</si>
  <si>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</si>
  <si>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</si>
  <si>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</si>
  <si>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</si>
  <si>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</si>
  <si>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</si>
  <si>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</si>
  <si>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</si>
  <si>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</si>
  <si>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</si>
  <si>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</si>
  <si>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</si>
  <si>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</si>
  <si>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</si>
  <si>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</si>
  <si>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</si>
  <si>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</si>
  <si>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</si>
  <si>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</si>
  <si>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</si>
  <si>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</si>
  <si>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</si>
  <si>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</si>
  <si>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</si>
  <si>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</si>
  <si>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</si>
  <si>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</si>
  <si>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</si>
  <si>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</si>
  <si>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</si>
  <si>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</si>
  <si>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</si>
  <si>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</si>
  <si>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</si>
  <si>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</si>
  <si>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</si>
  <si>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</si>
  <si>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</si>
  <si>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</si>
  <si>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</si>
  <si>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</si>
  <si>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</si>
  <si>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</si>
  <si>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</si>
  <si>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</si>
  <si>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</si>
  <si>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</si>
  <si>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</si>
  <si>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</si>
  <si>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</si>
  <si>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</si>
  <si>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</si>
  <si>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</si>
  <si>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</si>
  <si>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</si>
  <si>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</si>
  <si>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</si>
  <si>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</si>
  <si>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</si>
  <si>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</si>
  <si>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</si>
  <si>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</si>
  <si>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</si>
  <si>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</si>
  <si>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</si>
  <si>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</si>
  <si>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</si>
  <si>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</si>
  <si>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</si>
  <si>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</si>
  <si>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</si>
  <si>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</si>
  <si>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</si>
  <si>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</si>
  <si>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</si>
  <si>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</si>
  <si>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</si>
  <si>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</si>
  <si>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</si>
  <si>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</si>
  <si>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</si>
  <si>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</si>
  <si>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</si>
  <si>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</si>
  <si>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</si>
  <si>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</si>
  <si>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</si>
  <si>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</si>
  <si>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</si>
  <si>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</si>
  <si>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</si>
  <si>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</si>
  <si>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</si>
  <si>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</si>
  <si>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</si>
  <si>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</si>
  <si>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</si>
  <si>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</si>
  <si>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</si>
  <si>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</si>
  <si>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</si>
  <si>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</si>
  <si>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</si>
  <si>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</si>
  <si>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</si>
  <si>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</si>
  <si>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</si>
  <si>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</si>
  <si>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</si>
  <si>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</si>
  <si>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</si>
  <si>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</si>
  <si>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</si>
  <si>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</si>
  <si>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</si>
  <si>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</si>
  <si>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</si>
  <si>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</si>
  <si>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</si>
  <si>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</si>
  <si>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</si>
  <si>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</si>
  <si>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</si>
  <si>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</si>
  <si>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</si>
  <si>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</si>
  <si>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</si>
  <si>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</si>
  <si>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</si>
  <si>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</si>
  <si>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</si>
  <si>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</si>
  <si>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</si>
  <si>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</si>
  <si>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</si>
  <si>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</si>
  <si>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</si>
  <si>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</si>
  <si>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</si>
  <si>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</si>
  <si>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</si>
  <si>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</si>
  <si>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</si>
  <si>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</si>
  <si>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</si>
  <si>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</si>
  <si>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</si>
  <si>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</si>
  <si>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</si>
  <si>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</si>
  <si>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</si>
  <si>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</si>
  <si>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</si>
  <si>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</si>
  <si>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</si>
  <si>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</si>
  <si>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</si>
  <si>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</si>
  <si>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</si>
  <si>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</si>
  <si>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</si>
  <si>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</si>
  <si>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</si>
  <si>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</si>
  <si>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</si>
  <si>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</si>
  <si>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</si>
  <si>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</si>
  <si>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</si>
  <si>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</si>
  <si>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</si>
  <si>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</si>
  <si>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</si>
  <si>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</si>
  <si>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</si>
  <si>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</si>
  <si>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</si>
  <si>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</si>
  <si>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</si>
  <si>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</si>
  <si>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</si>
  <si>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</si>
  <si>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</si>
  <si>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</si>
  <si>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</si>
  <si>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</si>
  <si>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</si>
  <si>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</si>
  <si>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</si>
  <si>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</si>
  <si>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</si>
  <si>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</si>
  <si>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</si>
  <si>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</si>
  <si>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</si>
  <si>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</si>
  <si>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</si>
  <si>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</si>
  <si>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</si>
  <si>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</si>
  <si>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</si>
  <si>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</si>
  <si>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</si>
  <si>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</si>
  <si>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</si>
  <si>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</si>
  <si>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</si>
  <si>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</si>
  <si>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</si>
  <si>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</si>
  <si>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</si>
  <si>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</si>
  <si>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</si>
  <si>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</si>
  <si>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</si>
  <si>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</si>
  <si>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</si>
  <si>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</si>
  <si>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</si>
  <si>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</si>
  <si>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</si>
  <si>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</si>
  <si>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</si>
  <si>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</si>
  <si>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</si>
  <si>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</si>
  <si>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</si>
  <si>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</si>
  <si>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</si>
  <si>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</si>
  <si>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</si>
  <si>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</si>
  <si>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</si>
  <si>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</si>
  <si>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</si>
  <si>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</si>
  <si>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</si>
  <si>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</si>
  <si>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</si>
  <si>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</si>
  <si>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</si>
  <si>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</si>
  <si>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</si>
  <si>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</si>
  <si>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</si>
  <si>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</si>
  <si>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</si>
  <si>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</si>
  <si>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</si>
  <si>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</si>
  <si>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</si>
  <si>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</si>
  <si>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</si>
  <si>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</si>
  <si>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</si>
  <si>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</si>
  <si>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</si>
  <si>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</si>
  <si>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</si>
  <si>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</si>
  <si>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</si>
  <si>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</si>
  <si>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</si>
  <si>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</si>
  <si>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</si>
  <si>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</si>
  <si>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</si>
  <si>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</si>
  <si>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</si>
  <si>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</si>
  <si>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</si>
  <si>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</si>
  <si>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</si>
  <si>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</si>
  <si>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</si>
  <si>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</si>
  <si>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</si>
  <si>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</si>
  <si>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</si>
  <si>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</si>
  <si>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</si>
  <si>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</si>
  <si>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</si>
  <si>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</si>
  <si>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</si>
  <si>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</si>
  <si>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</si>
  <si>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</si>
  <si>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</si>
  <si>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</si>
  <si>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</si>
  <si>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</si>
  <si>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</si>
  <si>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</si>
  <si>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</si>
  <si>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</si>
  <si>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</si>
  <si>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</si>
  <si>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</si>
  <si>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</si>
  <si>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</si>
  <si>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</si>
  <si>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</si>
  <si>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</si>
  <si>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</si>
  <si>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</si>
  <si>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</si>
  <si>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</si>
  <si>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</si>
  <si>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</si>
  <si>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</si>
  <si>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</si>
  <si>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</si>
  <si>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</si>
  <si>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</si>
  <si>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</si>
  <si>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</si>
  <si>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</si>
  <si>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</si>
  <si>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</si>
  <si>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</si>
  <si>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</si>
  <si>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</si>
  <si>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</si>
  <si>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</si>
  <si>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</si>
  <si>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</si>
  <si>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</si>
  <si>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</si>
  <si>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</si>
  <si>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</si>
  <si>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</si>
  <si>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</si>
  <si>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</si>
  <si>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</si>
  <si>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</si>
  <si>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</si>
  <si>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</si>
  <si>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</si>
  <si>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</si>
  <si>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</si>
  <si>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</si>
  <si>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</si>
  <si>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</si>
  <si>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</si>
  <si>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</si>
  <si>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</si>
  <si>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</si>
  <si>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</si>
  <si>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</si>
  <si>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</si>
  <si>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</si>
  <si>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</si>
  <si>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</si>
  <si>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</si>
  <si>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</si>
  <si>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</si>
  <si>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</si>
  <si>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</si>
  <si>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</si>
  <si>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</si>
  <si>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</si>
  <si>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</si>
  <si>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</si>
  <si>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</si>
  <si>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</si>
  <si>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</si>
  <si>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</si>
  <si>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</si>
  <si>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</si>
  <si>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</si>
  <si>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</si>
  <si>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</si>
  <si>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</si>
  <si>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</si>
  <si>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</si>
  <si>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</si>
  <si>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</si>
  <si>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</si>
  <si>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</si>
  <si>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</si>
  <si>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</si>
  <si>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</si>
  <si>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</si>
  <si>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</si>
  <si>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</si>
  <si>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</si>
  <si>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</si>
  <si>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</si>
  <si>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</si>
  <si>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</si>
  <si>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</si>
  <si>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</si>
  <si>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</si>
  <si>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</si>
  <si>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</si>
  <si>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</si>
  <si>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</si>
  <si>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</si>
  <si>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</si>
  <si>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</si>
  <si>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</si>
  <si>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</si>
  <si>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</si>
  <si>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</si>
  <si>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</si>
  <si>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</si>
  <si>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</si>
  <si>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</si>
  <si>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</si>
  <si>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</si>
  <si>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</si>
  <si>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</si>
  <si>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</si>
  <si>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</si>
  <si>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</si>
  <si>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</si>
  <si>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</si>
  <si>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</si>
  <si>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</si>
  <si>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</si>
  <si>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</si>
  <si>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</si>
  <si>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</si>
  <si>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</si>
  <si>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</si>
  <si>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</si>
  <si>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</si>
  <si>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</si>
  <si>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</si>
  <si>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</si>
  <si>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</si>
  <si>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</si>
  <si>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</si>
  <si>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</si>
  <si>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</si>
  <si>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</si>
  <si>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</si>
  <si>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</si>
  <si>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</si>
  <si>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</si>
  <si>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</si>
  <si>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</si>
  <si>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</si>
  <si>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</si>
  <si>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</si>
  <si>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</si>
  <si>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</si>
  <si>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</si>
  <si>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</si>
  <si>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</si>
  <si>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</si>
  <si>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</si>
  <si>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</si>
  <si>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</si>
  <si>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</si>
  <si>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</si>
  <si>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</si>
  <si>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</si>
  <si>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</si>
  <si>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</si>
  <si>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</si>
  <si>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</si>
  <si>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</si>
  <si>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</si>
  <si>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</si>
  <si>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</si>
  <si>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</si>
  <si>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</si>
  <si>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</si>
  <si>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</si>
  <si>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</si>
  <si>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</si>
  <si>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</si>
  <si>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</si>
  <si>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</si>
  <si>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</si>
  <si>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</si>
  <si>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</si>
  <si>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</si>
  <si>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</si>
  <si>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</si>
  <si>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</si>
  <si>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</si>
  <si>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</si>
  <si>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</si>
  <si>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</si>
  <si>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</si>
  <si>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</si>
  <si>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</si>
  <si>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</si>
  <si>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</si>
  <si>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</si>
  <si>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</si>
  <si>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</si>
  <si>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</si>
  <si>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</si>
  <si>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</si>
  <si>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</si>
  <si>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</si>
  <si>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</si>
  <si>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</si>
  <si>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</si>
  <si>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</si>
  <si>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</si>
  <si>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</si>
  <si>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</si>
  <si>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</si>
  <si>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</si>
  <si>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</si>
  <si>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</si>
  <si>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</si>
  <si>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</si>
  <si>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</si>
  <si>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</si>
  <si>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</si>
  <si>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</si>
  <si>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</si>
  <si>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</si>
  <si>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</si>
  <si>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</si>
  <si>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</si>
  <si>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</si>
  <si>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</si>
  <si>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</si>
  <si>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</si>
  <si>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</si>
  <si>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</si>
  <si>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</si>
  <si>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</si>
  <si>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</si>
  <si>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</si>
  <si>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</si>
  <si>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</si>
  <si>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</si>
  <si>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</si>
  <si>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</si>
  <si>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</si>
  <si>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</si>
  <si>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</si>
  <si>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</si>
  <si>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</si>
  <si>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</si>
  <si>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</si>
  <si>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</si>
  <si>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</si>
  <si>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</si>
  <si>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</si>
  <si>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</si>
  <si>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</si>
  <si>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</si>
  <si>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</si>
  <si>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</si>
  <si>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</si>
  <si>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</si>
  <si>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</si>
  <si>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</si>
  <si>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</si>
  <si>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</si>
  <si>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</si>
  <si>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</si>
  <si>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</si>
  <si>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</si>
  <si>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</si>
  <si>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</si>
  <si>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</si>
  <si>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</si>
  <si>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</si>
  <si>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</si>
  <si>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</si>
  <si>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</si>
  <si>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</si>
  <si>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</si>
  <si>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</si>
  <si>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</si>
  <si>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</si>
  <si>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</si>
  <si>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</si>
  <si>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</si>
  <si>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</si>
  <si>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</si>
  <si>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</si>
  <si>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</si>
  <si>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</si>
  <si>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</si>
  <si>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</si>
  <si>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</si>
  <si>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</si>
  <si>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</si>
  <si>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</si>
  <si>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</si>
  <si>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</si>
  <si>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</si>
  <si>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</si>
  <si>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</si>
  <si>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</si>
  <si>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</si>
  <si>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</si>
  <si>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</si>
  <si>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</si>
  <si>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</si>
  <si>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</si>
  <si>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</si>
  <si>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</si>
  <si>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</si>
  <si>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</si>
  <si>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</si>
  <si>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</si>
  <si>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</si>
  <si>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</si>
  <si>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</si>
  <si>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</si>
  <si>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</si>
  <si>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</si>
  <si>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</si>
  <si>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</si>
  <si>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</si>
  <si>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</si>
  <si>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</si>
  <si>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</si>
  <si>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</si>
  <si>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</si>
  <si>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</si>
  <si>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</si>
  <si>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</si>
  <si>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</si>
  <si>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</si>
  <si>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</si>
  <si>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</si>
  <si>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</si>
  <si>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</si>
  <si>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</si>
  <si>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</si>
  <si>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</si>
  <si>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</si>
  <si>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</si>
  <si>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</si>
  <si>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</si>
  <si>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</si>
  <si>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</si>
  <si>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</si>
  <si>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</si>
  <si>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</si>
  <si>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</si>
  <si>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</si>
  <si>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</si>
  <si>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</si>
  <si>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</si>
  <si>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</si>
  <si>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</si>
  <si>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</si>
  <si>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</si>
  <si>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</si>
  <si>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</si>
  <si>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</si>
  <si>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</si>
  <si>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</si>
  <si>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</si>
  <si>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</si>
  <si>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</si>
  <si>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</si>
  <si>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</si>
  <si>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</si>
  <si>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</si>
  <si>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</si>
  <si>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</si>
  <si>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</si>
  <si>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</si>
  <si>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</si>
  <si>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</si>
  <si>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</si>
  <si>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</si>
  <si>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</si>
  <si>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</si>
  <si>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</si>
  <si>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</si>
  <si>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</si>
  <si>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</si>
  <si>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</si>
  <si>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</si>
  <si>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</si>
  <si>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</si>
  <si>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</si>
  <si>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</si>
  <si>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</si>
  <si>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</si>
  <si>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</si>
  <si>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</si>
  <si>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</si>
  <si>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</si>
  <si>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</si>
  <si>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</si>
  <si>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</si>
  <si>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</si>
  <si>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</si>
  <si>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</si>
  <si>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</si>
  <si>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</si>
  <si>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</si>
  <si>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</si>
  <si>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</si>
  <si>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</si>
  <si>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</si>
  <si>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</si>
  <si>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</si>
  <si>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</si>
  <si>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</si>
  <si>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</si>
  <si>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</si>
  <si>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</si>
  <si>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</si>
  <si>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</si>
  <si>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</si>
  <si>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</si>
  <si>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</si>
  <si>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</si>
  <si>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</si>
  <si>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</si>
  <si>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</si>
  <si>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</si>
  <si>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</si>
  <si>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</si>
  <si>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</si>
  <si>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</si>
  <si>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</si>
  <si>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</si>
  <si>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</si>
  <si>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</si>
  <si>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</si>
  <si>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</si>
  <si>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</si>
  <si>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</si>
  <si>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</si>
  <si>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</si>
  <si>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</si>
  <si>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</si>
  <si>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</si>
  <si>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</si>
  <si>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</si>
  <si>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</si>
  <si>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</si>
  <si>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</si>
  <si>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</si>
  <si>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</si>
  <si>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</si>
  <si>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</si>
  <si>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</si>
  <si>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</si>
  <si>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</si>
  <si>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</si>
  <si>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</si>
  <si>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</si>
  <si>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</si>
  <si>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</si>
  <si>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</si>
  <si>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</si>
  <si>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</si>
  <si>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</si>
  <si>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</si>
  <si>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</si>
  <si>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</si>
  <si>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</si>
  <si>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</si>
  <si>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</si>
  <si>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</si>
  <si>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</si>
  <si>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</si>
  <si>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</si>
  <si>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</si>
  <si>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</si>
  <si>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</si>
  <si>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</si>
  <si>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</si>
  <si>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</si>
  <si>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</si>
  <si>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</si>
  <si>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</si>
  <si>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</si>
  <si>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</si>
  <si>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</si>
  <si>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</si>
  <si>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</si>
  <si>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</si>
  <si>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</si>
  <si>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</si>
  <si>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</si>
  <si>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</si>
  <si>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</si>
  <si>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</si>
  <si>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</si>
  <si>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</si>
  <si>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</si>
  <si>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</si>
  <si>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</si>
  <si>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</si>
  <si>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</si>
  <si>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</si>
  <si>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</si>
  <si>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</si>
  <si>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</si>
  <si>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</si>
  <si>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</si>
  <si>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</si>
  <si>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</si>
  <si>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</si>
  <si>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</si>
  <si>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</si>
  <si>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</si>
  <si>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</si>
  <si>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</si>
  <si>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</si>
  <si>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</si>
  <si>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</si>
  <si>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</si>
  <si>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</si>
  <si>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</si>
  <si>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</si>
  <si>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</si>
  <si>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</si>
  <si>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</si>
  <si>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</si>
  <si>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</si>
  <si>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</si>
  <si>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</si>
  <si>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</si>
  <si>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</si>
  <si>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</si>
  <si>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</si>
  <si>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</si>
  <si>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</si>
  <si>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</si>
  <si>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</si>
  <si>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</si>
  <si>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</si>
  <si>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</si>
  <si>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</si>
  <si>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</si>
  <si>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</si>
  <si>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</si>
  <si>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</si>
  <si>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</si>
  <si>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</si>
  <si>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</si>
  <si>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</si>
  <si>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</si>
  <si>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</si>
  <si>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</si>
  <si>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</si>
  <si>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</si>
  <si>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</si>
  <si>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</si>
  <si>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</si>
  <si>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</si>
  <si>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</si>
  <si>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</si>
  <si>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</si>
  <si>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</si>
  <si>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</si>
  <si>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</si>
  <si>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</si>
  <si>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</si>
  <si>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</si>
  <si>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</si>
  <si>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</si>
  <si>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</si>
  <si>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</si>
  <si>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</si>
  <si>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</si>
  <si>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</si>
  <si>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</si>
  <si>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</si>
  <si>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</si>
  <si>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</si>
  <si>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</si>
  <si>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</si>
  <si>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</si>
  <si>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</si>
  <si>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</si>
  <si>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</si>
  <si>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</si>
  <si>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</si>
  <si>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</si>
  <si>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</si>
  <si>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</si>
  <si>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</si>
  <si>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</si>
  <si>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</si>
  <si>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</si>
  <si>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</si>
  <si>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</si>
  <si>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</si>
  <si>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</si>
  <si>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</si>
  <si>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</si>
  <si>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</si>
  <si>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</si>
  <si>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</si>
  <si>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</si>
  <si>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</si>
  <si>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</si>
  <si>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</si>
  <si>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</si>
  <si>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</si>
  <si>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</si>
  <si>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</si>
  <si>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</si>
  <si>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</si>
  <si>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</si>
  <si>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</si>
  <si>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</si>
  <si>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</si>
  <si>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</si>
  <si>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</si>
  <si>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</si>
  <si>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</si>
  <si>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</si>
  <si>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</si>
  <si>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</si>
  <si>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</si>
  <si>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</si>
  <si>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</si>
  <si>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</si>
  <si>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</si>
  <si>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</si>
  <si>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</si>
  <si>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</si>
  <si>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</si>
  <si>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</si>
  <si>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</si>
  <si>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</si>
  <si>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</si>
  <si>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</si>
  <si>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</si>
  <si>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</si>
  <si>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</si>
  <si>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</si>
  <si>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</si>
  <si>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</si>
  <si>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</si>
  <si>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</si>
  <si>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</si>
  <si>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</si>
  <si>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</si>
  <si>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</si>
  <si>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</si>
  <si>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</si>
  <si>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</si>
  <si>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</si>
  <si>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</si>
  <si>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</si>
  <si>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</si>
  <si>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</si>
  <si>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</si>
  <si>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</si>
  <si>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</si>
  <si>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</si>
  <si>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</si>
  <si>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</si>
  <si>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</si>
  <si>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</si>
  <si>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</si>
  <si>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</si>
  <si>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</si>
  <si>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</si>
  <si>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</si>
  <si>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</si>
  <si>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</si>
  <si>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</si>
  <si>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</si>
  <si>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</si>
  <si>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</si>
  <si>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</si>
  <si>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</si>
  <si>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</si>
  <si>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</si>
  <si>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</si>
  <si>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</si>
  <si>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</si>
  <si>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</si>
  <si>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</si>
  <si>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</si>
  <si>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</si>
  <si>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</si>
  <si>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</si>
  <si>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</si>
  <si>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</si>
  <si>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</si>
  <si>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</si>
  <si>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</si>
  <si>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</si>
  <si>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</si>
  <si>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</si>
  <si>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</si>
  <si>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</si>
  <si>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</si>
  <si>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</si>
  <si>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</si>
  <si>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</si>
  <si>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</si>
  <si>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</si>
  <si>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</si>
  <si>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</si>
  <si>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</si>
  <si>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</si>
  <si>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</si>
  <si>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</si>
  <si>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</si>
  <si>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</si>
  <si>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</si>
  <si>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</si>
  <si>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</si>
  <si>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</si>
  <si>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</si>
  <si>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</si>
  <si>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</si>
  <si>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</si>
  <si>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</si>
  <si>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</si>
  <si>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</si>
  <si>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</si>
  <si>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</si>
  <si>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</si>
  <si>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</si>
  <si>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</si>
  <si>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</si>
  <si>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</si>
  <si>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</si>
  <si>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</si>
  <si>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</si>
  <si>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</si>
  <si>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</si>
  <si>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</si>
  <si>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</si>
  <si>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</si>
  <si>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</si>
  <si>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</si>
  <si>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</si>
  <si>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</si>
  <si>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</si>
  <si>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</si>
  <si>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</si>
  <si>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</si>
  <si>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</si>
  <si>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</si>
  <si>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</si>
  <si>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</si>
  <si>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</si>
  <si>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</si>
  <si>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</si>
  <si>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</si>
  <si>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</si>
  <si>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</si>
  <si>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</si>
  <si>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</si>
  <si>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</si>
  <si>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</si>
  <si>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</si>
  <si>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</si>
  <si>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</si>
  <si>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</si>
  <si>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</si>
  <si>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</si>
  <si>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</si>
  <si>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</si>
  <si>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</si>
  <si>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</si>
  <si>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</si>
  <si>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</si>
  <si>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</si>
  <si>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</si>
  <si>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</si>
  <si>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</si>
  <si>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</si>
  <si>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</si>
  <si>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</si>
  <si>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</si>
  <si>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</si>
  <si>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</si>
  <si>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</si>
  <si>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</si>
  <si>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</si>
  <si>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</si>
  <si>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</si>
  <si>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</si>
  <si>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</si>
  <si>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</si>
  <si>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</si>
  <si>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</si>
  <si>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</si>
  <si>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</si>
  <si>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</si>
  <si>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</si>
  <si>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</si>
  <si>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</si>
  <si>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</si>
  <si>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</si>
  <si>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</si>
  <si>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</si>
  <si>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</si>
  <si>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</si>
  <si>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</si>
  <si>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</si>
  <si>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</si>
  <si>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</si>
  <si>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</si>
  <si>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</si>
  <si>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</si>
  <si>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</si>
  <si>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</si>
  <si>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</si>
  <si>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</si>
  <si>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</si>
  <si>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</si>
  <si>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</si>
  <si>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</si>
  <si>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</si>
  <si>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</si>
  <si>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</si>
  <si>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</si>
  <si>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</si>
  <si>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</si>
  <si>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</si>
  <si>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</si>
  <si>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</si>
  <si>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</si>
  <si>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</si>
  <si>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</si>
  <si>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</si>
  <si>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</si>
  <si>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</si>
  <si>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</si>
  <si>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</si>
  <si>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</si>
  <si>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</si>
  <si>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</si>
  <si>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</si>
  <si>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</si>
  <si>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</si>
  <si>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</si>
  <si>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</si>
  <si>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</si>
  <si>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</si>
  <si>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</si>
  <si>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</si>
  <si>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</si>
  <si>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</si>
  <si>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</si>
  <si>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</si>
  <si>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</si>
  <si>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</si>
  <si>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</si>
  <si>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</si>
  <si>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</si>
  <si>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</si>
  <si>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</si>
  <si>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</si>
  <si>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</si>
  <si>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</si>
  <si>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</si>
  <si>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</si>
  <si>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</si>
  <si>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</si>
  <si>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</si>
  <si>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</si>
  <si>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</si>
  <si>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</si>
  <si>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</si>
  <si>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</si>
  <si>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</si>
  <si>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</si>
  <si>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</si>
  <si>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</si>
  <si>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</si>
  <si>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</si>
  <si>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</si>
  <si>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</si>
  <si>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</si>
  <si>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</si>
  <si>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</si>
  <si>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</si>
  <si>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</si>
  <si>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</si>
  <si>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</si>
  <si>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</si>
  <si>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</si>
  <si>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</si>
  <si>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</si>
  <si>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</si>
  <si>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</si>
  <si>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</si>
  <si>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</si>
  <si>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</si>
  <si>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</si>
  <si>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</si>
  <si>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</si>
  <si>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</si>
  <si>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</si>
  <si>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</si>
  <si>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</si>
  <si>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</si>
  <si>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</si>
  <si>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</si>
  <si>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</si>
  <si>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</si>
  <si>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</si>
  <si>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</si>
  <si>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</si>
  <si>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</si>
  <si>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</si>
  <si>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</si>
  <si>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</si>
  <si>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</si>
  <si>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</si>
  <si>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</si>
  <si>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</si>
  <si>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</si>
  <si>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</si>
  <si>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</si>
  <si>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</si>
  <si>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</si>
  <si>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</si>
  <si>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</si>
  <si>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</si>
  <si>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</si>
  <si>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</si>
  <si>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</si>
  <si>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</si>
  <si>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Overall Summary Table</t>
  </si>
  <si>
    <t>Matrix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</si>
  <si>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</si>
  <si>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</si>
  <si>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</si>
  <si>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</si>
  <si>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</si>
  <si>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</si>
  <si>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</si>
  <si>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</si>
  <si>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</si>
  <si>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</si>
  <si>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</si>
  <si>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Paid Conversion Rate by Region</t>
  </si>
  <si>
    <t>Region</t>
  </si>
  <si>
    <t>Refund Rate by Region</t>
  </si>
  <si>
    <t>Support Ticket Rate by Region</t>
  </si>
  <si>
    <t>Paid Conversion Rate by Device Type</t>
  </si>
  <si>
    <t>Device Type</t>
  </si>
  <si>
    <t>Refund Rate by Device Type</t>
  </si>
  <si>
    <t>Support Ticket Rate by Device Type</t>
  </si>
  <si>
    <t xml:space="preserve">Device Type </t>
  </si>
  <si>
    <t>Segment analysis by region</t>
  </si>
  <si>
    <t xml:space="preserve">Segment analysis by device type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</si>
</sst>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rlito"/>
    </font>
    <font>
      <sz val="11"/>
      <color rgb="FF000000"/>
      <name val="Carlito"/>
    </font>
    <font>
      <b/>
      <sz val="12"/>
      <color rgb="FF000000"/>
      <name val="Carlito"/>
    </font>
    <font>
      <sz val="12"/>
      <color rgb="FF000000"/>
      <name val="Carlito"/>
    </font>
    <font>
      <b/>
      <sz val="13"/>
      <color rgb="FF00B0F0"/>
      <name val="Carlito"/>
    </font>
    <font>
      <b/>
      <sz val="13"/>
      <color rgb="FF00B050"/>
      <name val="Carlito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theme="8"/>
        <bgColor indexed="64"/>
      </patternFill>
    </fill>
    <fill>
      <patternFill patternType="solid">
        <fgColor rgb="FF8B258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3" fillId="5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1" fillId="0" borderId="1" xfId="0" applyFont="1" applyBorder="1"/>
    <xf numFmtId="9" fontId="1" fillId="0" borderId="1" xfId="0" applyNumberFormat="1" applyFont="1" applyBorder="1"/>
    <xf numFmtId="0" fontId="3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0" fontId="11" fillId="6" borderId="0" xfId="0" applyFont="1" applyFill="1"/>
    <xf numFmtId="0" fontId="1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B25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58C24-46F2-4150-8A36-31A84EC7DA70}">
  <dimension ref="A1:P1409"/>
  <sheetViews>
    <sheetView workbookViewId="0">
      <selection activeCell="B1" sqref="B1:B1048576"/>
    </sheetView>
  </sheetViews>
  <sheetFormatPr defaultRowHeight="14.4"/>
  <cols>
    <col min="2" max="2" width="17.109375" customWidth="1"/>
  </cols>
  <sheetData>
    <row r="1" spans="1:16" ht="41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A607-F626-4F09-94EF-44E9AC3242A2}">
  <dimension ref="A1:I14"/>
  <sheetViews>
    <sheetView workbookViewId="0">
      <selection activeCell="H1" sqref="H1"/>
    </sheetView>
  </sheetViews>
  <sheetFormatPr defaultRowHeight="14.4"/>
  <cols>
    <col min="1" max="1" width="34.33203125" customWidth="1"/>
    <col min="2" max="2" width="16" customWidth="1"/>
    <col min="3" max="3" width="13.21875" customWidth="1"/>
  </cols>
  <sheetData>
    <row r="1" spans="1:9" ht="21">
      <c r="A1" s="4" t="s">
        <v>1433</v>
      </c>
      <c r="B1" s="4"/>
      <c r="C1" s="4"/>
      <c r="D1" s="5"/>
      <c r="E1" s="5"/>
      <c r="F1" s="10"/>
      <c r="G1" s="5"/>
      <c r="H1" s="3"/>
      <c r="I1" s="3"/>
    </row>
    <row r="3" spans="1:9" ht="18">
      <c r="A3" s="6" t="s">
        <v>1434</v>
      </c>
      <c r="B3" s="7" t="s">
        <v>17</v>
      </c>
      <c r="C3" s="7" t="s">
        <v>723</v>
      </c>
    </row>
    <row r="4" spans="1:9">
      <c r="A4" s="8" t="s">
        <v>1435</v>
      </c>
      <c r="B4" s="8">
        <f>COUNTIF(Dataset!$C:$C, "Control")</f>
        <v>693</v>
      </c>
      <c r="C4" s="8">
        <f>COUNTIF(Dataset!$C:$C, "Treatment")</f>
        <v>715</v>
      </c>
    </row>
    <row r="5" spans="1:9">
      <c r="A5" s="8" t="s">
        <v>1436</v>
      </c>
      <c r="B5" s="9">
        <f>COUNTIFS(Dataset!$C:$C, "Control", Dataset!$H:$H, 1) / COUNTIF(Dataset!$C:$C, "Control")</f>
        <v>0.63636363636363635</v>
      </c>
      <c r="C5" s="9">
        <f>COUNTIFS(Dataset!$C:$C, "Treatment", Dataset!$H:$H, 1) / COUNTIF(Dataset!$C:$C, "Treatment")</f>
        <v>0.72587412587412592</v>
      </c>
    </row>
    <row r="6" spans="1:9">
      <c r="A6" s="8" t="s">
        <v>1437</v>
      </c>
      <c r="B6" s="9">
        <f>COUNTIFS(Dataset!$C:$C, "Control", Dataset!$I:$I, 1) / COUNTIF(Dataset!$C:$C, "Control")</f>
        <v>0.25108225108225107</v>
      </c>
      <c r="C6" s="9">
        <f>COUNTIFS(Dataset!$C:$C, "Treatment", Dataset!$I:$I, 1) / COUNTIF(Dataset!$C:$C, "Treatment")</f>
        <v>0.29090909090909089</v>
      </c>
    </row>
    <row r="7" spans="1:9">
      <c r="A7" s="8" t="s">
        <v>1438</v>
      </c>
      <c r="B7" s="9">
        <f>COUNTIFS(Dataset!$C:$C, "Control", Dataset!$J:$J, 1) / COUNTIF(Dataset!$C:$C, "Control")</f>
        <v>0.15584415584415584</v>
      </c>
      <c r="C7" s="9">
        <f>COUNTIFS(Dataset!$C:$C, "Treatment", Dataset!$J:$J, 1) / COUNTIF(Dataset!$C:$C, "Treatment")</f>
        <v>0.21258741258741259</v>
      </c>
    </row>
    <row r="8" spans="1:9">
      <c r="A8" s="8" t="s">
        <v>1439</v>
      </c>
      <c r="B8" s="9">
        <f>COUNTIFS(Dataset!$C:$C, "Control", Dataset!$K:$K, 1) / COUNTIF(Dataset!$C:$C, "Control")</f>
        <v>3.1746031746031744E-2</v>
      </c>
      <c r="C8" s="9">
        <f>COUNTIFS(Dataset!$C:$C, "Treatment", Dataset!$K:$K, 1) / COUNTIF(Dataset!$C:$C, "Treatment")</f>
        <v>6.9930069930069935E-2</v>
      </c>
    </row>
    <row r="9" spans="1:9">
      <c r="A9" s="8" t="s">
        <v>1440</v>
      </c>
      <c r="B9" s="8">
        <f>SUMIF(Dataset!$C:$C, "Control", Dataset!$L:$L) / COUNTIF(Dataset!$C:$C, "Control")</f>
        <v>51.74932178932179</v>
      </c>
      <c r="C9" s="8">
        <f>SUMIF(Dataset!$C:$C, "Treatment", Dataset!$L:$L) / COUNTIF(Dataset!$C:$C, "Treatment")</f>
        <v>53.875118881118873</v>
      </c>
    </row>
    <row r="10" spans="1:9">
      <c r="A10" s="8" t="s">
        <v>1441</v>
      </c>
      <c r="B10" s="8">
        <f>SUMIF(Dataset!$C:$C, "Control", Dataset!$L:$L) / COUNTIFS(Dataset!$C:$C, "Control", Dataset!$K:$K, 1)</f>
        <v>1630.1036363636363</v>
      </c>
      <c r="C10" s="8">
        <f>SUMIF(Dataset!$C:$C, "Treatment", Dataset!$L:$L) / COUNTIFS(Dataset!$C:$C, "Treatment", Dataset!$K:$K, 1)</f>
        <v>770.41419999999982</v>
      </c>
    </row>
    <row r="11" spans="1:9">
      <c r="A11" s="8" t="s">
        <v>1442</v>
      </c>
      <c r="B11" s="9">
        <v>0</v>
      </c>
      <c r="C11" s="9">
        <v>4.1999999999999997E-3</v>
      </c>
    </row>
    <row r="12" spans="1:9">
      <c r="A12" s="8" t="s">
        <v>1443</v>
      </c>
      <c r="B12" s="9">
        <f>COUNTIFS(Dataset!$C:$C, "Control", Dataset!$M:$M, 1) / COUNTIF(Dataset!$C:$C, "Control")</f>
        <v>9.2352092352092352E-2</v>
      </c>
      <c r="C12" s="9">
        <f>COUNTIFS(Dataset!$C:$C, "Treatment", Dataset!$M:$M, 1) / COUNTIF(Dataset!$C:$C, "Treatment")</f>
        <v>0.16083916083916083</v>
      </c>
    </row>
    <row r="13" spans="1:9">
      <c r="A13" s="8" t="s">
        <v>1444</v>
      </c>
      <c r="B13" s="8">
        <f>AVERAGEIFS(Dataset!$P:$P, Dataset!$C:$C, "Control", Dataset!$K:$K, 1)</f>
        <v>54.35</v>
      </c>
      <c r="C13" s="8">
        <f>AVERAGEIFS(Dataset!$P:$P, Dataset!$C:$C, "Treatment", Dataset!$K:$K, 1)</f>
        <v>69.138000000000005</v>
      </c>
    </row>
    <row r="14" spans="1:9">
      <c r="A14" s="8" t="s">
        <v>1445</v>
      </c>
      <c r="B14" s="8">
        <f>AVERAGEIF(Dataset!$C:$C, "Control", Dataset!$O:$O)</f>
        <v>8.8636363636363633</v>
      </c>
      <c r="C14" s="8">
        <f>AVERAGEIF(Dataset!$C:$C, "Treatment", Dataset!$O:$O)</f>
        <v>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6A598-8D01-44C5-B1A7-246AFA587D96}">
  <dimension ref="B1:J22"/>
  <sheetViews>
    <sheetView tabSelected="1" topLeftCell="B1" workbookViewId="0">
      <selection activeCell="H3" sqref="H3"/>
    </sheetView>
  </sheetViews>
  <sheetFormatPr defaultRowHeight="14.4"/>
  <cols>
    <col min="1" max="1" width="15.6640625" customWidth="1"/>
    <col min="2" max="2" width="14.5546875" customWidth="1"/>
    <col min="3" max="3" width="12.5546875" customWidth="1"/>
    <col min="4" max="4" width="15" customWidth="1"/>
    <col min="8" max="8" width="28.21875" customWidth="1"/>
    <col min="9" max="9" width="11.21875" customWidth="1"/>
  </cols>
  <sheetData>
    <row r="1" spans="2:10" ht="18">
      <c r="B1" s="26" t="s">
        <v>1455</v>
      </c>
      <c r="C1" s="26"/>
      <c r="D1" s="26"/>
    </row>
    <row r="3" spans="2:10" ht="18">
      <c r="B3" s="11" t="s">
        <v>1446</v>
      </c>
      <c r="C3" s="11"/>
      <c r="D3" s="11"/>
      <c r="H3" s="27" t="s">
        <v>1456</v>
      </c>
      <c r="I3" s="12"/>
      <c r="J3" s="12"/>
    </row>
    <row r="4" spans="2:10" ht="16.8">
      <c r="B4" s="13" t="s">
        <v>1447</v>
      </c>
      <c r="C4" s="13" t="s">
        <v>17</v>
      </c>
      <c r="D4" s="13" t="s">
        <v>723</v>
      </c>
      <c r="H4" s="19" t="s">
        <v>1450</v>
      </c>
      <c r="I4" s="19"/>
      <c r="J4" s="19"/>
    </row>
    <row r="5" spans="2:10">
      <c r="B5" s="14" t="s">
        <v>18</v>
      </c>
      <c r="C5" s="15">
        <v>3.4500000000000003E-2</v>
      </c>
      <c r="D5" s="15">
        <v>8.8900000000000007E-2</v>
      </c>
      <c r="H5" s="20" t="s">
        <v>1451</v>
      </c>
      <c r="I5" s="20" t="s">
        <v>17</v>
      </c>
      <c r="J5" s="20" t="s">
        <v>723</v>
      </c>
    </row>
    <row r="6" spans="2:10">
      <c r="B6" s="14" t="s">
        <v>32</v>
      </c>
      <c r="C6" s="15">
        <v>3.2599999999999997E-2</v>
      </c>
      <c r="D6" s="15">
        <v>7.6100000000000001E-2</v>
      </c>
      <c r="H6" s="21" t="s">
        <v>19</v>
      </c>
      <c r="I6" s="22">
        <v>4.4999999999999998E-2</v>
      </c>
      <c r="J6" s="22">
        <v>6.54E-2</v>
      </c>
    </row>
    <row r="7" spans="2:10">
      <c r="B7" s="14" t="s">
        <v>28</v>
      </c>
      <c r="C7" s="15">
        <v>2.53E-2</v>
      </c>
      <c r="D7" s="15">
        <v>6.4000000000000001E-2</v>
      </c>
      <c r="H7" s="21" t="s">
        <v>24</v>
      </c>
      <c r="I7" s="22">
        <v>2.5700000000000001E-2</v>
      </c>
      <c r="J7" s="22">
        <v>7.3400000000000007E-2</v>
      </c>
    </row>
    <row r="8" spans="2:10">
      <c r="B8" s="14" t="s">
        <v>23</v>
      </c>
      <c r="C8" s="15">
        <v>3.3799999999999997E-2</v>
      </c>
      <c r="D8" s="15">
        <v>5.0299999999999997E-2</v>
      </c>
      <c r="H8" s="21" t="s">
        <v>34</v>
      </c>
      <c r="I8" s="22">
        <v>1.7899999999999999E-2</v>
      </c>
      <c r="J8" s="22">
        <v>7.1400000000000005E-2</v>
      </c>
    </row>
    <row r="9" spans="2:10">
      <c r="H9" s="12"/>
      <c r="I9" s="12"/>
      <c r="J9" s="12"/>
    </row>
    <row r="10" spans="2:10" ht="16.8">
      <c r="B10" s="11" t="s">
        <v>1448</v>
      </c>
      <c r="C10" s="11"/>
      <c r="D10" s="11"/>
      <c r="H10" s="19" t="s">
        <v>1452</v>
      </c>
      <c r="I10" s="19"/>
      <c r="J10" s="19"/>
    </row>
    <row r="11" spans="2:10" ht="15.6">
      <c r="B11" s="16" t="s">
        <v>1447</v>
      </c>
      <c r="C11" s="16" t="s">
        <v>17</v>
      </c>
      <c r="D11" s="16" t="s">
        <v>723</v>
      </c>
      <c r="H11" s="23" t="s">
        <v>1451</v>
      </c>
      <c r="I11" s="23" t="s">
        <v>17</v>
      </c>
      <c r="J11" s="23" t="s">
        <v>723</v>
      </c>
    </row>
    <row r="12" spans="2:10" ht="15">
      <c r="B12" s="17" t="s">
        <v>18</v>
      </c>
      <c r="C12" s="18">
        <v>0</v>
      </c>
      <c r="D12" s="18">
        <v>5.5999999999999999E-3</v>
      </c>
      <c r="H12" s="21" t="s">
        <v>19</v>
      </c>
      <c r="I12" s="25">
        <v>0</v>
      </c>
      <c r="J12" s="25">
        <v>0</v>
      </c>
    </row>
    <row r="13" spans="2:10" ht="15">
      <c r="B13" s="17" t="s">
        <v>32</v>
      </c>
      <c r="C13" s="18">
        <v>0</v>
      </c>
      <c r="D13" s="18">
        <v>0</v>
      </c>
      <c r="H13" s="21" t="s">
        <v>24</v>
      </c>
      <c r="I13" s="25">
        <v>0</v>
      </c>
      <c r="J13" s="25">
        <v>6.8999999999999999E-3</v>
      </c>
    </row>
    <row r="14" spans="2:10" ht="15">
      <c r="B14" s="17" t="s">
        <v>28</v>
      </c>
      <c r="C14" s="18">
        <v>0</v>
      </c>
      <c r="D14" s="18">
        <v>5.7999999999999996E-3</v>
      </c>
      <c r="H14" s="21" t="s">
        <v>34</v>
      </c>
      <c r="I14" s="25">
        <v>0</v>
      </c>
      <c r="J14" s="25">
        <v>0</v>
      </c>
    </row>
    <row r="15" spans="2:10" ht="15">
      <c r="B15" s="17" t="s">
        <v>23</v>
      </c>
      <c r="C15" s="18">
        <v>0</v>
      </c>
      <c r="D15" s="18">
        <v>5.5999999999999999E-3</v>
      </c>
      <c r="H15" s="12"/>
      <c r="I15" s="12"/>
      <c r="J15" s="12"/>
    </row>
    <row r="16" spans="2:10" ht="16.8">
      <c r="H16" s="19" t="s">
        <v>1453</v>
      </c>
      <c r="I16" s="19"/>
      <c r="J16" s="19"/>
    </row>
    <row r="17" spans="2:10" ht="16.8">
      <c r="B17" s="11" t="s">
        <v>1449</v>
      </c>
      <c r="C17" s="11"/>
      <c r="D17" s="11"/>
      <c r="H17" s="23" t="s">
        <v>1454</v>
      </c>
      <c r="I17" s="23" t="s">
        <v>17</v>
      </c>
      <c r="J17" s="23" t="s">
        <v>723</v>
      </c>
    </row>
    <row r="18" spans="2:10" ht="15.6">
      <c r="B18" s="16" t="s">
        <v>1447</v>
      </c>
      <c r="C18" s="16" t="s">
        <v>17</v>
      </c>
      <c r="D18" s="16" t="s">
        <v>723</v>
      </c>
      <c r="H18" s="21" t="s">
        <v>19</v>
      </c>
      <c r="I18" s="24">
        <v>0.23</v>
      </c>
      <c r="J18" s="24">
        <v>0.4</v>
      </c>
    </row>
    <row r="19" spans="2:10" ht="15">
      <c r="B19" s="17" t="s">
        <v>18</v>
      </c>
      <c r="C19" s="17">
        <v>0.22</v>
      </c>
      <c r="D19" s="17">
        <v>0.36</v>
      </c>
      <c r="H19" s="21" t="s">
        <v>24</v>
      </c>
      <c r="I19" s="24">
        <v>0.22</v>
      </c>
      <c r="J19" s="24">
        <v>0.36</v>
      </c>
    </row>
    <row r="20" spans="2:10" ht="15">
      <c r="B20" s="17" t="s">
        <v>32</v>
      </c>
      <c r="C20" s="17">
        <v>0.21</v>
      </c>
      <c r="D20" s="17">
        <v>0.32</v>
      </c>
      <c r="H20" s="21" t="s">
        <v>34</v>
      </c>
      <c r="I20" s="24">
        <v>0.12</v>
      </c>
      <c r="J20" s="24">
        <v>0.3</v>
      </c>
    </row>
    <row r="21" spans="2:10" ht="15">
      <c r="B21" s="17" t="s">
        <v>28</v>
      </c>
      <c r="C21" s="17">
        <v>0.22</v>
      </c>
      <c r="D21" s="17">
        <v>0.38</v>
      </c>
    </row>
    <row r="22" spans="2:10" ht="15">
      <c r="B22" s="17" t="s">
        <v>23</v>
      </c>
      <c r="C22" s="17">
        <v>0.22</v>
      </c>
      <c r="D22" s="17">
        <v>0.43</v>
      </c>
    </row>
  </sheetData>
  <mergeCells count="7">
    <mergeCell ref="B1:D1"/>
    <mergeCell ref="B3:D3"/>
    <mergeCell ref="B10:D10"/>
    <mergeCell ref="B17:D17"/>
    <mergeCell ref="H4:J4"/>
    <mergeCell ref="H10:J10"/>
    <mergeCell ref="H16:J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Summary table</vt:lpstr>
      <vt:lpstr>Segment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RISHAV SETH</dc:creator>
  <cp:lastModifiedBy>RISHAV SETH</cp:lastModifiedBy>
  <dcterms:created xsi:type="dcterms:W3CDTF">2026-06-24T19:16:06Z</dcterms:created>
  <dcterms:modified xsi:type="dcterms:W3CDTF">2026-06-24T20:31:19Z</dcterms:modified>
</cp:coreProperties>
</file>